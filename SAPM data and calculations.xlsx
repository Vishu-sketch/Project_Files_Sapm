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faaq khan\Downloads\"/>
    </mc:Choice>
  </mc:AlternateContent>
  <xr:revisionPtr revIDLastSave="0" documentId="13_ncr:1_{3AA260B5-0B51-44B0-8550-92799C200F87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Equal Weights Portfolio" sheetId="7" r:id="rId1"/>
    <sheet name="Opimal P" sheetId="8" r:id="rId2"/>
    <sheet name="backtest stocks" sheetId="9" r:id="rId3"/>
    <sheet name="EQUAL WEIGHTS INDICES" sheetId="1" r:id="rId4"/>
    <sheet name="OPTIMAL WEIGHTS INDICES" sheetId="4" r:id="rId5"/>
    <sheet name="BACKTEST INDICES" sheetId="6" r:id="rId6"/>
  </sheets>
  <definedNames>
    <definedName name="solver_adj" localSheetId="1" hidden="1">'Opimal P'!$N$5:$N$6</definedName>
    <definedName name="solver_cvg" localSheetId="1" hidden="1">0.0001</definedName>
    <definedName name="solver_drv" localSheetId="1" hidden="1">2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'Opimal P'!$N$7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1</definedName>
    <definedName name="solver_nwt" localSheetId="1" hidden="1">1</definedName>
    <definedName name="solver_opt" localSheetId="1" hidden="1">'Opimal P'!$P$20</definedName>
    <definedName name="solver_pre" localSheetId="1" hidden="1">0.000001</definedName>
    <definedName name="solver_rbv" localSheetId="1" hidden="1">2</definedName>
    <definedName name="solver_rel1" localSheetId="1" hidden="1">2</definedName>
    <definedName name="solver_rhs1" localSheetId="1" hidden="1">1</definedName>
    <definedName name="solver_rlx" localSheetId="1" hidden="1">2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9" l="1"/>
  <c r="G251" i="9"/>
  <c r="F251" i="9"/>
  <c r="G250" i="9"/>
  <c r="F250" i="9"/>
  <c r="G248" i="9"/>
  <c r="F248" i="9"/>
  <c r="G247" i="9"/>
  <c r="F247" i="9"/>
  <c r="G246" i="9"/>
  <c r="F246" i="9"/>
  <c r="G245" i="9"/>
  <c r="F245" i="9"/>
  <c r="G244" i="9"/>
  <c r="F244" i="9"/>
  <c r="G243" i="9"/>
  <c r="F243" i="9"/>
  <c r="G242" i="9"/>
  <c r="F242" i="9"/>
  <c r="G241" i="9"/>
  <c r="F241" i="9"/>
  <c r="G240" i="9"/>
  <c r="F240" i="9"/>
  <c r="G239" i="9"/>
  <c r="F239" i="9"/>
  <c r="G238" i="9"/>
  <c r="F238" i="9"/>
  <c r="G237" i="9"/>
  <c r="F237" i="9"/>
  <c r="G236" i="9"/>
  <c r="F236" i="9"/>
  <c r="G235" i="9"/>
  <c r="F235" i="9"/>
  <c r="G234" i="9"/>
  <c r="F234" i="9"/>
  <c r="G233" i="9"/>
  <c r="F233" i="9"/>
  <c r="G232" i="9"/>
  <c r="F232" i="9"/>
  <c r="G231" i="9"/>
  <c r="F231" i="9"/>
  <c r="G230" i="9"/>
  <c r="F230" i="9"/>
  <c r="G229" i="9"/>
  <c r="F229" i="9"/>
  <c r="G228" i="9"/>
  <c r="F228" i="9"/>
  <c r="G227" i="9"/>
  <c r="F227" i="9"/>
  <c r="G226" i="9"/>
  <c r="F226" i="9"/>
  <c r="G225" i="9"/>
  <c r="F225" i="9"/>
  <c r="G224" i="9"/>
  <c r="F224" i="9"/>
  <c r="G223" i="9"/>
  <c r="F223" i="9"/>
  <c r="G222" i="9"/>
  <c r="F222" i="9"/>
  <c r="G221" i="9"/>
  <c r="F221" i="9"/>
  <c r="G220" i="9"/>
  <c r="F220" i="9"/>
  <c r="G219" i="9"/>
  <c r="F219" i="9"/>
  <c r="G218" i="9"/>
  <c r="F218" i="9"/>
  <c r="G217" i="9"/>
  <c r="F217" i="9"/>
  <c r="G216" i="9"/>
  <c r="F216" i="9"/>
  <c r="G215" i="9"/>
  <c r="F215" i="9"/>
  <c r="G214" i="9"/>
  <c r="F214" i="9"/>
  <c r="G213" i="9"/>
  <c r="F213" i="9"/>
  <c r="G212" i="9"/>
  <c r="F212" i="9"/>
  <c r="G211" i="9"/>
  <c r="F211" i="9"/>
  <c r="G210" i="9"/>
  <c r="F210" i="9"/>
  <c r="G209" i="9"/>
  <c r="F209" i="9"/>
  <c r="G208" i="9"/>
  <c r="F208" i="9"/>
  <c r="G207" i="9"/>
  <c r="F207" i="9"/>
  <c r="G206" i="9"/>
  <c r="F206" i="9"/>
  <c r="G205" i="9"/>
  <c r="F205" i="9"/>
  <c r="G204" i="9"/>
  <c r="F204" i="9"/>
  <c r="G203" i="9"/>
  <c r="F203" i="9"/>
  <c r="G202" i="9"/>
  <c r="F202" i="9"/>
  <c r="G201" i="9"/>
  <c r="F201" i="9"/>
  <c r="G200" i="9"/>
  <c r="F200" i="9"/>
  <c r="G199" i="9"/>
  <c r="F199" i="9"/>
  <c r="G198" i="9"/>
  <c r="F198" i="9"/>
  <c r="G197" i="9"/>
  <c r="F197" i="9"/>
  <c r="G196" i="9"/>
  <c r="F196" i="9"/>
  <c r="G195" i="9"/>
  <c r="F195" i="9"/>
  <c r="G194" i="9"/>
  <c r="F194" i="9"/>
  <c r="G193" i="9"/>
  <c r="F193" i="9"/>
  <c r="G192" i="9"/>
  <c r="F192" i="9"/>
  <c r="G191" i="9"/>
  <c r="F191" i="9"/>
  <c r="G190" i="9"/>
  <c r="F190" i="9"/>
  <c r="G189" i="9"/>
  <c r="F189" i="9"/>
  <c r="G188" i="9"/>
  <c r="F188" i="9"/>
  <c r="G187" i="9"/>
  <c r="F187" i="9"/>
  <c r="G186" i="9"/>
  <c r="F186" i="9"/>
  <c r="G185" i="9"/>
  <c r="F185" i="9"/>
  <c r="G184" i="9"/>
  <c r="F184" i="9"/>
  <c r="G183" i="9"/>
  <c r="F183" i="9"/>
  <c r="G182" i="9"/>
  <c r="F182" i="9"/>
  <c r="G181" i="9"/>
  <c r="F181" i="9"/>
  <c r="G180" i="9"/>
  <c r="F180" i="9"/>
  <c r="G179" i="9"/>
  <c r="F179" i="9"/>
  <c r="G178" i="9"/>
  <c r="F178" i="9"/>
  <c r="G177" i="9"/>
  <c r="F177" i="9"/>
  <c r="G176" i="9"/>
  <c r="F176" i="9"/>
  <c r="G175" i="9"/>
  <c r="F175" i="9"/>
  <c r="G174" i="9"/>
  <c r="F174" i="9"/>
  <c r="G173" i="9"/>
  <c r="F173" i="9"/>
  <c r="G172" i="9"/>
  <c r="F172" i="9"/>
  <c r="G171" i="9"/>
  <c r="F171" i="9"/>
  <c r="G170" i="9"/>
  <c r="F170" i="9"/>
  <c r="G169" i="9"/>
  <c r="F169" i="9"/>
  <c r="G168" i="9"/>
  <c r="F168" i="9"/>
  <c r="G167" i="9"/>
  <c r="F167" i="9"/>
  <c r="G166" i="9"/>
  <c r="F166" i="9"/>
  <c r="G165" i="9"/>
  <c r="F165" i="9"/>
  <c r="G164" i="9"/>
  <c r="F164" i="9"/>
  <c r="G163" i="9"/>
  <c r="F163" i="9"/>
  <c r="G162" i="9"/>
  <c r="F162" i="9"/>
  <c r="G161" i="9"/>
  <c r="F161" i="9"/>
  <c r="G160" i="9"/>
  <c r="F160" i="9"/>
  <c r="G159" i="9"/>
  <c r="F159" i="9"/>
  <c r="G158" i="9"/>
  <c r="F158" i="9"/>
  <c r="G157" i="9"/>
  <c r="F157" i="9"/>
  <c r="G156" i="9"/>
  <c r="F156" i="9"/>
  <c r="G155" i="9"/>
  <c r="F155" i="9"/>
  <c r="G154" i="9"/>
  <c r="F154" i="9"/>
  <c r="G153" i="9"/>
  <c r="F153" i="9"/>
  <c r="G152" i="9"/>
  <c r="F152" i="9"/>
  <c r="G151" i="9"/>
  <c r="F151" i="9"/>
  <c r="G150" i="9"/>
  <c r="F150" i="9"/>
  <c r="G149" i="9"/>
  <c r="F149" i="9"/>
  <c r="G148" i="9"/>
  <c r="F148" i="9"/>
  <c r="G147" i="9"/>
  <c r="F147" i="9"/>
  <c r="G146" i="9"/>
  <c r="F146" i="9"/>
  <c r="G145" i="9"/>
  <c r="F145" i="9"/>
  <c r="G144" i="9"/>
  <c r="F144" i="9"/>
  <c r="G143" i="9"/>
  <c r="F143" i="9"/>
  <c r="G142" i="9"/>
  <c r="F142" i="9"/>
  <c r="G141" i="9"/>
  <c r="F141" i="9"/>
  <c r="G140" i="9"/>
  <c r="F140" i="9"/>
  <c r="G139" i="9"/>
  <c r="F139" i="9"/>
  <c r="G138" i="9"/>
  <c r="F138" i="9"/>
  <c r="G137" i="9"/>
  <c r="F137" i="9"/>
  <c r="G136" i="9"/>
  <c r="F136" i="9"/>
  <c r="G135" i="9"/>
  <c r="F135" i="9"/>
  <c r="G134" i="9"/>
  <c r="F134" i="9"/>
  <c r="G133" i="9"/>
  <c r="F133" i="9"/>
  <c r="G132" i="9"/>
  <c r="F132" i="9"/>
  <c r="G131" i="9"/>
  <c r="F131" i="9"/>
  <c r="G130" i="9"/>
  <c r="F130" i="9"/>
  <c r="G129" i="9"/>
  <c r="F129" i="9"/>
  <c r="G128" i="9"/>
  <c r="F128" i="9"/>
  <c r="G127" i="9"/>
  <c r="F127" i="9"/>
  <c r="G126" i="9"/>
  <c r="F126" i="9"/>
  <c r="G125" i="9"/>
  <c r="F125" i="9"/>
  <c r="G124" i="9"/>
  <c r="F124" i="9"/>
  <c r="G123" i="9"/>
  <c r="F123" i="9"/>
  <c r="G122" i="9"/>
  <c r="F122" i="9"/>
  <c r="G121" i="9"/>
  <c r="F121" i="9"/>
  <c r="G120" i="9"/>
  <c r="F120" i="9"/>
  <c r="G119" i="9"/>
  <c r="F119" i="9"/>
  <c r="G118" i="9"/>
  <c r="F118" i="9"/>
  <c r="G117" i="9"/>
  <c r="F117" i="9"/>
  <c r="G116" i="9"/>
  <c r="F116" i="9"/>
  <c r="G115" i="9"/>
  <c r="F115" i="9"/>
  <c r="G114" i="9"/>
  <c r="F114" i="9"/>
  <c r="G113" i="9"/>
  <c r="F113" i="9"/>
  <c r="G112" i="9"/>
  <c r="F112" i="9"/>
  <c r="G111" i="9"/>
  <c r="F111" i="9"/>
  <c r="G110" i="9"/>
  <c r="F110" i="9"/>
  <c r="G109" i="9"/>
  <c r="F109" i="9"/>
  <c r="G108" i="9"/>
  <c r="F108" i="9"/>
  <c r="G107" i="9"/>
  <c r="F107" i="9"/>
  <c r="G106" i="9"/>
  <c r="F106" i="9"/>
  <c r="G105" i="9"/>
  <c r="F105" i="9"/>
  <c r="G104" i="9"/>
  <c r="F104" i="9"/>
  <c r="G103" i="9"/>
  <c r="F103" i="9"/>
  <c r="G102" i="9"/>
  <c r="F102" i="9"/>
  <c r="G101" i="9"/>
  <c r="F101" i="9"/>
  <c r="G100" i="9"/>
  <c r="F100" i="9"/>
  <c r="G99" i="9"/>
  <c r="F99" i="9"/>
  <c r="G98" i="9"/>
  <c r="F98" i="9"/>
  <c r="G97" i="9"/>
  <c r="F97" i="9"/>
  <c r="G96" i="9"/>
  <c r="F96" i="9"/>
  <c r="G95" i="9"/>
  <c r="F95" i="9"/>
  <c r="G94" i="9"/>
  <c r="F94" i="9"/>
  <c r="G93" i="9"/>
  <c r="F93" i="9"/>
  <c r="G92" i="9"/>
  <c r="F92" i="9"/>
  <c r="G91" i="9"/>
  <c r="F91" i="9"/>
  <c r="G90" i="9"/>
  <c r="F90" i="9"/>
  <c r="G89" i="9"/>
  <c r="F89" i="9"/>
  <c r="G88" i="9"/>
  <c r="F88" i="9"/>
  <c r="G87" i="9"/>
  <c r="F87" i="9"/>
  <c r="G86" i="9"/>
  <c r="F86" i="9"/>
  <c r="G85" i="9"/>
  <c r="F85" i="9"/>
  <c r="G84" i="9"/>
  <c r="F84" i="9"/>
  <c r="G83" i="9"/>
  <c r="F83" i="9"/>
  <c r="G82" i="9"/>
  <c r="F82" i="9"/>
  <c r="G81" i="9"/>
  <c r="F81" i="9"/>
  <c r="G80" i="9"/>
  <c r="F80" i="9"/>
  <c r="G79" i="9"/>
  <c r="F79" i="9"/>
  <c r="G78" i="9"/>
  <c r="F78" i="9"/>
  <c r="G77" i="9"/>
  <c r="F77" i="9"/>
  <c r="G76" i="9"/>
  <c r="F76" i="9"/>
  <c r="G75" i="9"/>
  <c r="F75" i="9"/>
  <c r="G74" i="9"/>
  <c r="F74" i="9"/>
  <c r="G73" i="9"/>
  <c r="F73" i="9"/>
  <c r="G72" i="9"/>
  <c r="F72" i="9"/>
  <c r="G71" i="9"/>
  <c r="F71" i="9"/>
  <c r="G70" i="9"/>
  <c r="F70" i="9"/>
  <c r="G69" i="9"/>
  <c r="F69" i="9"/>
  <c r="G68" i="9"/>
  <c r="F68" i="9"/>
  <c r="G67" i="9"/>
  <c r="F67" i="9"/>
  <c r="G66" i="9"/>
  <c r="F66" i="9"/>
  <c r="G65" i="9"/>
  <c r="F65" i="9"/>
  <c r="G64" i="9"/>
  <c r="F64" i="9"/>
  <c r="G63" i="9"/>
  <c r="F63" i="9"/>
  <c r="G62" i="9"/>
  <c r="F62" i="9"/>
  <c r="G61" i="9"/>
  <c r="F61" i="9"/>
  <c r="G60" i="9"/>
  <c r="F60" i="9"/>
  <c r="G59" i="9"/>
  <c r="F59" i="9"/>
  <c r="G58" i="9"/>
  <c r="F58" i="9"/>
  <c r="G57" i="9"/>
  <c r="F57" i="9"/>
  <c r="G56" i="9"/>
  <c r="F56" i="9"/>
  <c r="G55" i="9"/>
  <c r="F55" i="9"/>
  <c r="G54" i="9"/>
  <c r="F54" i="9"/>
  <c r="G53" i="9"/>
  <c r="F53" i="9"/>
  <c r="G52" i="9"/>
  <c r="F52" i="9"/>
  <c r="G51" i="9"/>
  <c r="F51" i="9"/>
  <c r="G50" i="9"/>
  <c r="F50" i="9"/>
  <c r="G49" i="9"/>
  <c r="F49" i="9"/>
  <c r="G48" i="9"/>
  <c r="F48" i="9"/>
  <c r="G47" i="9"/>
  <c r="F47" i="9"/>
  <c r="G46" i="9"/>
  <c r="F46" i="9"/>
  <c r="G45" i="9"/>
  <c r="F45" i="9"/>
  <c r="G44" i="9"/>
  <c r="F44" i="9"/>
  <c r="G43" i="9"/>
  <c r="F43" i="9"/>
  <c r="G42" i="9"/>
  <c r="F42" i="9"/>
  <c r="G41" i="9"/>
  <c r="F41" i="9"/>
  <c r="G40" i="9"/>
  <c r="F40" i="9"/>
  <c r="G39" i="9"/>
  <c r="F39" i="9"/>
  <c r="G38" i="9"/>
  <c r="F38" i="9"/>
  <c r="G37" i="9"/>
  <c r="F37" i="9"/>
  <c r="G36" i="9"/>
  <c r="F36" i="9"/>
  <c r="G35" i="9"/>
  <c r="F35" i="9"/>
  <c r="G34" i="9"/>
  <c r="F34" i="9"/>
  <c r="G33" i="9"/>
  <c r="F33" i="9"/>
  <c r="G32" i="9"/>
  <c r="F32" i="9"/>
  <c r="G31" i="9"/>
  <c r="F31" i="9"/>
  <c r="G30" i="9"/>
  <c r="F30" i="9"/>
  <c r="G29" i="9"/>
  <c r="F29" i="9"/>
  <c r="G28" i="9"/>
  <c r="F28" i="9"/>
  <c r="G27" i="9"/>
  <c r="F27" i="9"/>
  <c r="G26" i="9"/>
  <c r="F26" i="9"/>
  <c r="G25" i="9"/>
  <c r="F25" i="9"/>
  <c r="G24" i="9"/>
  <c r="F24" i="9"/>
  <c r="M23" i="9"/>
  <c r="G23" i="9"/>
  <c r="F23" i="9"/>
  <c r="G22" i="9"/>
  <c r="F22" i="9"/>
  <c r="G21" i="9"/>
  <c r="F21" i="9"/>
  <c r="N20" i="9"/>
  <c r="G20" i="9"/>
  <c r="F20" i="9"/>
  <c r="M19" i="9"/>
  <c r="G19" i="9"/>
  <c r="F19" i="9"/>
  <c r="G18" i="9"/>
  <c r="F18" i="9"/>
  <c r="G17" i="9"/>
  <c r="F17" i="9"/>
  <c r="M16" i="9"/>
  <c r="G16" i="9"/>
  <c r="F16" i="9"/>
  <c r="M15" i="9"/>
  <c r="G15" i="9"/>
  <c r="F15" i="9"/>
  <c r="M14" i="9" a="1"/>
  <c r="M14" i="9"/>
  <c r="G14" i="9"/>
  <c r="F14" i="9"/>
  <c r="G13" i="9"/>
  <c r="F13" i="9"/>
  <c r="G12" i="9"/>
  <c r="F12" i="9"/>
  <c r="G11" i="9"/>
  <c r="F11" i="9"/>
  <c r="M10" i="9"/>
  <c r="G10" i="9"/>
  <c r="F10" i="9"/>
  <c r="G9" i="9"/>
  <c r="F9" i="9"/>
  <c r="K8" i="9"/>
  <c r="G8" i="9"/>
  <c r="F8" i="9"/>
  <c r="M7" i="9"/>
  <c r="J7" i="9"/>
  <c r="G7" i="9"/>
  <c r="F7" i="9"/>
  <c r="M6" i="9"/>
  <c r="J6" i="9"/>
  <c r="G6" i="9"/>
  <c r="F6" i="9"/>
  <c r="G5" i="9"/>
  <c r="XFD1048575" i="8"/>
  <c r="XFD1048574" i="8"/>
  <c r="XFD1048573" i="8"/>
  <c r="XFD1048572" i="8"/>
  <c r="XFD1048571" i="8"/>
  <c r="XFD1048570" i="8"/>
  <c r="XFD1048569" i="8"/>
  <c r="XFD1048568" i="8"/>
  <c r="XFD1048567" i="8"/>
  <c r="XFD1048566" i="8"/>
  <c r="XFD1048565" i="8"/>
  <c r="XFD1048564" i="8"/>
  <c r="XFD1048563" i="8"/>
  <c r="XFD1048562" i="8"/>
  <c r="XFD1048561" i="8"/>
  <c r="XFD1048560" i="8"/>
  <c r="XFD1048559" i="8"/>
  <c r="XFD1048558" i="8"/>
  <c r="XFD1048557" i="8"/>
  <c r="XFD1048556" i="8"/>
  <c r="XFD1048555" i="8"/>
  <c r="XFD1048554" i="8"/>
  <c r="XFD1048553" i="8"/>
  <c r="XFD1048552" i="8"/>
  <c r="XFD1048551" i="8"/>
  <c r="XFD1048550" i="8"/>
  <c r="I254" i="8"/>
  <c r="H254" i="8"/>
  <c r="I252" i="8"/>
  <c r="H252" i="8"/>
  <c r="I250" i="8"/>
  <c r="H250" i="8"/>
  <c r="I249" i="8"/>
  <c r="H249" i="8"/>
  <c r="I248" i="8"/>
  <c r="H248" i="8"/>
  <c r="I247" i="8"/>
  <c r="H247" i="8"/>
  <c r="I246" i="8"/>
  <c r="H246" i="8"/>
  <c r="I245" i="8"/>
  <c r="H245" i="8"/>
  <c r="I244" i="8"/>
  <c r="H244" i="8"/>
  <c r="I243" i="8"/>
  <c r="H243" i="8"/>
  <c r="I242" i="8"/>
  <c r="H242" i="8"/>
  <c r="I241" i="8"/>
  <c r="H241" i="8"/>
  <c r="I240" i="8"/>
  <c r="H240" i="8"/>
  <c r="I239" i="8"/>
  <c r="H239" i="8"/>
  <c r="I238" i="8"/>
  <c r="H238" i="8"/>
  <c r="I237" i="8"/>
  <c r="H237" i="8"/>
  <c r="I236" i="8"/>
  <c r="H236" i="8"/>
  <c r="I235" i="8"/>
  <c r="H235" i="8"/>
  <c r="I234" i="8"/>
  <c r="H234" i="8"/>
  <c r="I233" i="8"/>
  <c r="H233" i="8"/>
  <c r="I232" i="8"/>
  <c r="H232" i="8"/>
  <c r="I231" i="8"/>
  <c r="H231" i="8"/>
  <c r="I230" i="8"/>
  <c r="H230" i="8"/>
  <c r="I229" i="8"/>
  <c r="H229" i="8"/>
  <c r="I228" i="8"/>
  <c r="H228" i="8"/>
  <c r="I227" i="8"/>
  <c r="H227" i="8"/>
  <c r="I226" i="8"/>
  <c r="H226" i="8"/>
  <c r="I225" i="8"/>
  <c r="H225" i="8"/>
  <c r="I224" i="8"/>
  <c r="H224" i="8"/>
  <c r="I223" i="8"/>
  <c r="H223" i="8"/>
  <c r="I222" i="8"/>
  <c r="H222" i="8"/>
  <c r="I221" i="8"/>
  <c r="H221" i="8"/>
  <c r="I220" i="8"/>
  <c r="H220" i="8"/>
  <c r="I219" i="8"/>
  <c r="H219" i="8"/>
  <c r="I218" i="8"/>
  <c r="H218" i="8"/>
  <c r="I217" i="8"/>
  <c r="H217" i="8"/>
  <c r="I216" i="8"/>
  <c r="H216" i="8"/>
  <c r="I215" i="8"/>
  <c r="H215" i="8"/>
  <c r="I214" i="8"/>
  <c r="H214" i="8"/>
  <c r="I213" i="8"/>
  <c r="H213" i="8"/>
  <c r="I212" i="8"/>
  <c r="H212" i="8"/>
  <c r="I211" i="8"/>
  <c r="H211" i="8"/>
  <c r="I210" i="8"/>
  <c r="H210" i="8"/>
  <c r="I209" i="8"/>
  <c r="H209" i="8"/>
  <c r="I208" i="8"/>
  <c r="H208" i="8"/>
  <c r="I207" i="8"/>
  <c r="H207" i="8"/>
  <c r="I206" i="8"/>
  <c r="H206" i="8"/>
  <c r="I205" i="8"/>
  <c r="H205" i="8"/>
  <c r="I204" i="8"/>
  <c r="H204" i="8"/>
  <c r="I203" i="8"/>
  <c r="H203" i="8"/>
  <c r="I202" i="8"/>
  <c r="H202" i="8"/>
  <c r="I201" i="8"/>
  <c r="H201" i="8"/>
  <c r="I200" i="8"/>
  <c r="H200" i="8"/>
  <c r="I199" i="8"/>
  <c r="H199" i="8"/>
  <c r="I198" i="8"/>
  <c r="H198" i="8"/>
  <c r="I197" i="8"/>
  <c r="H197" i="8"/>
  <c r="I196" i="8"/>
  <c r="H196" i="8"/>
  <c r="I195" i="8"/>
  <c r="H195" i="8"/>
  <c r="I194" i="8"/>
  <c r="H194" i="8"/>
  <c r="I193" i="8"/>
  <c r="H193" i="8"/>
  <c r="I192" i="8"/>
  <c r="H192" i="8"/>
  <c r="I191" i="8"/>
  <c r="H191" i="8"/>
  <c r="I190" i="8"/>
  <c r="H190" i="8"/>
  <c r="I189" i="8"/>
  <c r="H189" i="8"/>
  <c r="I188" i="8"/>
  <c r="H188" i="8"/>
  <c r="I187" i="8"/>
  <c r="H187" i="8"/>
  <c r="I186" i="8"/>
  <c r="H186" i="8"/>
  <c r="I185" i="8"/>
  <c r="H185" i="8"/>
  <c r="I184" i="8"/>
  <c r="H184" i="8"/>
  <c r="I183" i="8"/>
  <c r="H183" i="8"/>
  <c r="I182" i="8"/>
  <c r="H182" i="8"/>
  <c r="I181" i="8"/>
  <c r="H181" i="8"/>
  <c r="I180" i="8"/>
  <c r="H180" i="8"/>
  <c r="I179" i="8"/>
  <c r="H179" i="8"/>
  <c r="I178" i="8"/>
  <c r="H178" i="8"/>
  <c r="I177" i="8"/>
  <c r="H177" i="8"/>
  <c r="I176" i="8"/>
  <c r="H176" i="8"/>
  <c r="I175" i="8"/>
  <c r="H175" i="8"/>
  <c r="I174" i="8"/>
  <c r="H174" i="8"/>
  <c r="I173" i="8"/>
  <c r="H173" i="8"/>
  <c r="I172" i="8"/>
  <c r="H172" i="8"/>
  <c r="I171" i="8"/>
  <c r="H171" i="8"/>
  <c r="I170" i="8"/>
  <c r="H170" i="8"/>
  <c r="I169" i="8"/>
  <c r="H169" i="8"/>
  <c r="I168" i="8"/>
  <c r="H168" i="8"/>
  <c r="I167" i="8"/>
  <c r="H167" i="8"/>
  <c r="I166" i="8"/>
  <c r="H166" i="8"/>
  <c r="I165" i="8"/>
  <c r="H165" i="8"/>
  <c r="I164" i="8"/>
  <c r="H164" i="8"/>
  <c r="I163" i="8"/>
  <c r="H163" i="8"/>
  <c r="I162" i="8"/>
  <c r="H162" i="8"/>
  <c r="I161" i="8"/>
  <c r="H161" i="8"/>
  <c r="I160" i="8"/>
  <c r="H160" i="8"/>
  <c r="I159" i="8"/>
  <c r="H159" i="8"/>
  <c r="I158" i="8"/>
  <c r="H158" i="8"/>
  <c r="I157" i="8"/>
  <c r="H157" i="8"/>
  <c r="I156" i="8"/>
  <c r="H156" i="8"/>
  <c r="I155" i="8"/>
  <c r="H155" i="8"/>
  <c r="I154" i="8"/>
  <c r="H154" i="8"/>
  <c r="I153" i="8"/>
  <c r="H153" i="8"/>
  <c r="I152" i="8"/>
  <c r="H152" i="8"/>
  <c r="I151" i="8"/>
  <c r="H151" i="8"/>
  <c r="I150" i="8"/>
  <c r="H150" i="8"/>
  <c r="I149" i="8"/>
  <c r="H149" i="8"/>
  <c r="I148" i="8"/>
  <c r="H148" i="8"/>
  <c r="I147" i="8"/>
  <c r="H147" i="8"/>
  <c r="I146" i="8"/>
  <c r="H146" i="8"/>
  <c r="I145" i="8"/>
  <c r="H145" i="8"/>
  <c r="I144" i="8"/>
  <c r="H144" i="8"/>
  <c r="I143" i="8"/>
  <c r="H143" i="8"/>
  <c r="I142" i="8"/>
  <c r="H142" i="8"/>
  <c r="I141" i="8"/>
  <c r="H141" i="8"/>
  <c r="I140" i="8"/>
  <c r="H140" i="8"/>
  <c r="I139" i="8"/>
  <c r="H139" i="8"/>
  <c r="I138" i="8"/>
  <c r="H138" i="8"/>
  <c r="I137" i="8"/>
  <c r="H137" i="8"/>
  <c r="I136" i="8"/>
  <c r="H136" i="8"/>
  <c r="I135" i="8"/>
  <c r="H135" i="8"/>
  <c r="I134" i="8"/>
  <c r="H134" i="8"/>
  <c r="I133" i="8"/>
  <c r="H133" i="8"/>
  <c r="I132" i="8"/>
  <c r="H132" i="8"/>
  <c r="I131" i="8"/>
  <c r="H131" i="8"/>
  <c r="I130" i="8"/>
  <c r="H130" i="8"/>
  <c r="I129" i="8"/>
  <c r="H129" i="8"/>
  <c r="I128" i="8"/>
  <c r="H128" i="8"/>
  <c r="I127" i="8"/>
  <c r="H127" i="8"/>
  <c r="I126" i="8"/>
  <c r="H126" i="8"/>
  <c r="I125" i="8"/>
  <c r="H125" i="8"/>
  <c r="I124" i="8"/>
  <c r="H124" i="8"/>
  <c r="I123" i="8"/>
  <c r="H123" i="8"/>
  <c r="I122" i="8"/>
  <c r="H122" i="8"/>
  <c r="I121" i="8"/>
  <c r="H121" i="8"/>
  <c r="I120" i="8"/>
  <c r="H120" i="8"/>
  <c r="I119" i="8"/>
  <c r="H119" i="8"/>
  <c r="I118" i="8"/>
  <c r="H118" i="8"/>
  <c r="I117" i="8"/>
  <c r="H117" i="8"/>
  <c r="I116" i="8"/>
  <c r="H116" i="8"/>
  <c r="I115" i="8"/>
  <c r="H115" i="8"/>
  <c r="I114" i="8"/>
  <c r="H114" i="8"/>
  <c r="I113" i="8"/>
  <c r="H113" i="8"/>
  <c r="I112" i="8"/>
  <c r="H112" i="8"/>
  <c r="I111" i="8"/>
  <c r="H111" i="8"/>
  <c r="I110" i="8"/>
  <c r="H110" i="8"/>
  <c r="I109" i="8"/>
  <c r="H109" i="8"/>
  <c r="I108" i="8"/>
  <c r="H108" i="8"/>
  <c r="I107" i="8"/>
  <c r="H107" i="8"/>
  <c r="I106" i="8"/>
  <c r="H106" i="8"/>
  <c r="I105" i="8"/>
  <c r="H105" i="8"/>
  <c r="I104" i="8"/>
  <c r="H104" i="8"/>
  <c r="I103" i="8"/>
  <c r="H103" i="8"/>
  <c r="I102" i="8"/>
  <c r="H102" i="8"/>
  <c r="I101" i="8"/>
  <c r="H101" i="8"/>
  <c r="I100" i="8"/>
  <c r="H100" i="8"/>
  <c r="I99" i="8"/>
  <c r="H99" i="8"/>
  <c r="I98" i="8"/>
  <c r="H98" i="8"/>
  <c r="I97" i="8"/>
  <c r="H97" i="8"/>
  <c r="I96" i="8"/>
  <c r="H96" i="8"/>
  <c r="I95" i="8"/>
  <c r="H95" i="8"/>
  <c r="I94" i="8"/>
  <c r="H94" i="8"/>
  <c r="I93" i="8"/>
  <c r="H93" i="8"/>
  <c r="I92" i="8"/>
  <c r="H92" i="8"/>
  <c r="I91" i="8"/>
  <c r="H91" i="8"/>
  <c r="I90" i="8"/>
  <c r="H90" i="8"/>
  <c r="I89" i="8"/>
  <c r="H89" i="8"/>
  <c r="I88" i="8"/>
  <c r="H88" i="8"/>
  <c r="I87" i="8"/>
  <c r="H87" i="8"/>
  <c r="I86" i="8"/>
  <c r="H86" i="8"/>
  <c r="I85" i="8"/>
  <c r="H85" i="8"/>
  <c r="I84" i="8"/>
  <c r="H84" i="8"/>
  <c r="I83" i="8"/>
  <c r="H83" i="8"/>
  <c r="I82" i="8"/>
  <c r="H82" i="8"/>
  <c r="I81" i="8"/>
  <c r="H81" i="8"/>
  <c r="I80" i="8"/>
  <c r="H80" i="8"/>
  <c r="I79" i="8"/>
  <c r="H79" i="8"/>
  <c r="I78" i="8"/>
  <c r="H78" i="8"/>
  <c r="I77" i="8"/>
  <c r="H77" i="8"/>
  <c r="I76" i="8"/>
  <c r="H76" i="8"/>
  <c r="I75" i="8"/>
  <c r="H75" i="8"/>
  <c r="I74" i="8"/>
  <c r="H74" i="8"/>
  <c r="I73" i="8"/>
  <c r="H73" i="8"/>
  <c r="I72" i="8"/>
  <c r="H72" i="8"/>
  <c r="I71" i="8"/>
  <c r="H71" i="8"/>
  <c r="I70" i="8"/>
  <c r="H70" i="8"/>
  <c r="I69" i="8"/>
  <c r="H69" i="8"/>
  <c r="I68" i="8"/>
  <c r="H68" i="8"/>
  <c r="I67" i="8"/>
  <c r="H67" i="8"/>
  <c r="I66" i="8"/>
  <c r="H66" i="8"/>
  <c r="I65" i="8"/>
  <c r="H65" i="8"/>
  <c r="I64" i="8"/>
  <c r="H64" i="8"/>
  <c r="I63" i="8"/>
  <c r="H63" i="8"/>
  <c r="I62" i="8"/>
  <c r="H62" i="8"/>
  <c r="I61" i="8"/>
  <c r="H61" i="8"/>
  <c r="I60" i="8"/>
  <c r="H60" i="8"/>
  <c r="I59" i="8"/>
  <c r="H59" i="8"/>
  <c r="I58" i="8"/>
  <c r="H58" i="8"/>
  <c r="I57" i="8"/>
  <c r="H57" i="8"/>
  <c r="I56" i="8"/>
  <c r="H56" i="8"/>
  <c r="I55" i="8"/>
  <c r="H55" i="8"/>
  <c r="I54" i="8"/>
  <c r="H54" i="8"/>
  <c r="I53" i="8"/>
  <c r="H53" i="8"/>
  <c r="I52" i="8"/>
  <c r="H52" i="8"/>
  <c r="I51" i="8"/>
  <c r="H51" i="8"/>
  <c r="I50" i="8"/>
  <c r="H50" i="8"/>
  <c r="I49" i="8"/>
  <c r="H49" i="8"/>
  <c r="I48" i="8"/>
  <c r="H48" i="8"/>
  <c r="I47" i="8"/>
  <c r="H47" i="8"/>
  <c r="I46" i="8"/>
  <c r="H46" i="8"/>
  <c r="I45" i="8"/>
  <c r="H45" i="8"/>
  <c r="I44" i="8"/>
  <c r="H44" i="8"/>
  <c r="I43" i="8"/>
  <c r="H43" i="8"/>
  <c r="I42" i="8"/>
  <c r="H42" i="8"/>
  <c r="I41" i="8"/>
  <c r="H41" i="8"/>
  <c r="I40" i="8"/>
  <c r="H40" i="8"/>
  <c r="I39" i="8"/>
  <c r="H39" i="8"/>
  <c r="I38" i="8"/>
  <c r="H38" i="8"/>
  <c r="I37" i="8"/>
  <c r="H37" i="8"/>
  <c r="I36" i="8"/>
  <c r="H36" i="8"/>
  <c r="I35" i="8"/>
  <c r="H35" i="8"/>
  <c r="I34" i="8"/>
  <c r="H34" i="8"/>
  <c r="I33" i="8"/>
  <c r="H33" i="8"/>
  <c r="I32" i="8"/>
  <c r="H32" i="8"/>
  <c r="I31" i="8"/>
  <c r="H31" i="8"/>
  <c r="I30" i="8"/>
  <c r="H30" i="8"/>
  <c r="I29" i="8"/>
  <c r="H29" i="8"/>
  <c r="I28" i="8"/>
  <c r="H28" i="8"/>
  <c r="I27" i="8"/>
  <c r="H27" i="8"/>
  <c r="I26" i="8"/>
  <c r="H26" i="8"/>
  <c r="I25" i="8"/>
  <c r="H25" i="8"/>
  <c r="I24" i="8"/>
  <c r="H24" i="8"/>
  <c r="I23" i="8"/>
  <c r="H23" i="8"/>
  <c r="I22" i="8"/>
  <c r="H22" i="8"/>
  <c r="I21" i="8"/>
  <c r="H21" i="8"/>
  <c r="P20" i="8"/>
  <c r="I20" i="8"/>
  <c r="H20" i="8"/>
  <c r="I19" i="8"/>
  <c r="H19" i="8"/>
  <c r="Q18" i="8"/>
  <c r="I18" i="8"/>
  <c r="H18" i="8"/>
  <c r="P17" i="8"/>
  <c r="I17" i="8"/>
  <c r="H17" i="8"/>
  <c r="I16" i="8"/>
  <c r="H16" i="8"/>
  <c r="P15" i="8"/>
  <c r="I15" i="8"/>
  <c r="H15" i="8"/>
  <c r="P14" i="8"/>
  <c r="I14" i="8"/>
  <c r="H14" i="8"/>
  <c r="P13" i="8" a="1"/>
  <c r="P13" i="8"/>
  <c r="I13" i="8"/>
  <c r="H13" i="8"/>
  <c r="I12" i="8"/>
  <c r="H12" i="8"/>
  <c r="I11" i="8"/>
  <c r="H11" i="8"/>
  <c r="I10" i="8"/>
  <c r="H10" i="8"/>
  <c r="P9" i="8"/>
  <c r="I9" i="8"/>
  <c r="H9" i="8"/>
  <c r="I8" i="8"/>
  <c r="H8" i="8"/>
  <c r="N7" i="8"/>
  <c r="I7" i="8"/>
  <c r="H7" i="8"/>
  <c r="P6" i="8"/>
  <c r="I6" i="8"/>
  <c r="H6" i="8"/>
  <c r="P5" i="8"/>
  <c r="I5" i="8"/>
  <c r="H5" i="8"/>
  <c r="XFD1048575" i="7"/>
  <c r="XFD1048574" i="7"/>
  <c r="XFD1048573" i="7"/>
  <c r="XFD1048572" i="7"/>
  <c r="XFD1048571" i="7"/>
  <c r="XFD1048570" i="7"/>
  <c r="XFD1048569" i="7"/>
  <c r="XFD1048568" i="7"/>
  <c r="XFD1048567" i="7"/>
  <c r="XFD1048566" i="7"/>
  <c r="XFD1048565" i="7"/>
  <c r="XFD1048564" i="7"/>
  <c r="XFD1048563" i="7"/>
  <c r="XFD1048562" i="7"/>
  <c r="XFD1048561" i="7"/>
  <c r="XFD1048560" i="7"/>
  <c r="XFD1048559" i="7"/>
  <c r="XFD1048558" i="7"/>
  <c r="XFD1048557" i="7"/>
  <c r="XFD1048556" i="7"/>
  <c r="XFD1048555" i="7"/>
  <c r="XFD1048554" i="7"/>
  <c r="XFD1048553" i="7"/>
  <c r="XFD1048552" i="7"/>
  <c r="XFD1048551" i="7"/>
  <c r="XFD1048550" i="7"/>
  <c r="I254" i="7"/>
  <c r="H254" i="7"/>
  <c r="I252" i="7"/>
  <c r="H252" i="7"/>
  <c r="I250" i="7"/>
  <c r="H250" i="7"/>
  <c r="I249" i="7"/>
  <c r="H249" i="7"/>
  <c r="I248" i="7"/>
  <c r="H248" i="7"/>
  <c r="I247" i="7"/>
  <c r="H247" i="7"/>
  <c r="I246" i="7"/>
  <c r="H246" i="7"/>
  <c r="I245" i="7"/>
  <c r="H245" i="7"/>
  <c r="I244" i="7"/>
  <c r="H244" i="7"/>
  <c r="I243" i="7"/>
  <c r="H243" i="7"/>
  <c r="I242" i="7"/>
  <c r="H242" i="7"/>
  <c r="I241" i="7"/>
  <c r="H241" i="7"/>
  <c r="I240" i="7"/>
  <c r="H240" i="7"/>
  <c r="I239" i="7"/>
  <c r="H239" i="7"/>
  <c r="I238" i="7"/>
  <c r="H238" i="7"/>
  <c r="I237" i="7"/>
  <c r="H237" i="7"/>
  <c r="I236" i="7"/>
  <c r="H236" i="7"/>
  <c r="I235" i="7"/>
  <c r="H235" i="7"/>
  <c r="I234" i="7"/>
  <c r="H234" i="7"/>
  <c r="I233" i="7"/>
  <c r="H233" i="7"/>
  <c r="I232" i="7"/>
  <c r="H232" i="7"/>
  <c r="I231" i="7"/>
  <c r="H231" i="7"/>
  <c r="I230" i="7"/>
  <c r="H230" i="7"/>
  <c r="I229" i="7"/>
  <c r="H229" i="7"/>
  <c r="I228" i="7"/>
  <c r="H228" i="7"/>
  <c r="I227" i="7"/>
  <c r="H227" i="7"/>
  <c r="I226" i="7"/>
  <c r="H226" i="7"/>
  <c r="I225" i="7"/>
  <c r="H225" i="7"/>
  <c r="I224" i="7"/>
  <c r="H224" i="7"/>
  <c r="I223" i="7"/>
  <c r="H223" i="7"/>
  <c r="I222" i="7"/>
  <c r="H222" i="7"/>
  <c r="I221" i="7"/>
  <c r="H221" i="7"/>
  <c r="I220" i="7"/>
  <c r="H220" i="7"/>
  <c r="I219" i="7"/>
  <c r="H219" i="7"/>
  <c r="I218" i="7"/>
  <c r="H218" i="7"/>
  <c r="I217" i="7"/>
  <c r="H217" i="7"/>
  <c r="I216" i="7"/>
  <c r="H216" i="7"/>
  <c r="I215" i="7"/>
  <c r="H215" i="7"/>
  <c r="I214" i="7"/>
  <c r="H214" i="7"/>
  <c r="I213" i="7"/>
  <c r="H213" i="7"/>
  <c r="I212" i="7"/>
  <c r="H212" i="7"/>
  <c r="I211" i="7"/>
  <c r="H211" i="7"/>
  <c r="I210" i="7"/>
  <c r="H210" i="7"/>
  <c r="I209" i="7"/>
  <c r="H209" i="7"/>
  <c r="I208" i="7"/>
  <c r="H208" i="7"/>
  <c r="I207" i="7"/>
  <c r="H207" i="7"/>
  <c r="I206" i="7"/>
  <c r="H206" i="7"/>
  <c r="I205" i="7"/>
  <c r="H205" i="7"/>
  <c r="I204" i="7"/>
  <c r="H204" i="7"/>
  <c r="I203" i="7"/>
  <c r="H203" i="7"/>
  <c r="I202" i="7"/>
  <c r="H202" i="7"/>
  <c r="I201" i="7"/>
  <c r="H201" i="7"/>
  <c r="I200" i="7"/>
  <c r="H200" i="7"/>
  <c r="I199" i="7"/>
  <c r="H199" i="7"/>
  <c r="I198" i="7"/>
  <c r="H198" i="7"/>
  <c r="I197" i="7"/>
  <c r="H197" i="7"/>
  <c r="I196" i="7"/>
  <c r="H196" i="7"/>
  <c r="I195" i="7"/>
  <c r="H195" i="7"/>
  <c r="I194" i="7"/>
  <c r="H194" i="7"/>
  <c r="I193" i="7"/>
  <c r="H193" i="7"/>
  <c r="I192" i="7"/>
  <c r="H192" i="7"/>
  <c r="I191" i="7"/>
  <c r="H191" i="7"/>
  <c r="I190" i="7"/>
  <c r="H190" i="7"/>
  <c r="I189" i="7"/>
  <c r="H189" i="7"/>
  <c r="I188" i="7"/>
  <c r="H188" i="7"/>
  <c r="I187" i="7"/>
  <c r="H187" i="7"/>
  <c r="I186" i="7"/>
  <c r="H186" i="7"/>
  <c r="I185" i="7"/>
  <c r="H185" i="7"/>
  <c r="I184" i="7"/>
  <c r="H184" i="7"/>
  <c r="I183" i="7"/>
  <c r="H183" i="7"/>
  <c r="I182" i="7"/>
  <c r="H182" i="7"/>
  <c r="I181" i="7"/>
  <c r="H181" i="7"/>
  <c r="I180" i="7"/>
  <c r="H180" i="7"/>
  <c r="I179" i="7"/>
  <c r="H179" i="7"/>
  <c r="I178" i="7"/>
  <c r="H178" i="7"/>
  <c r="I177" i="7"/>
  <c r="H177" i="7"/>
  <c r="I176" i="7"/>
  <c r="H176" i="7"/>
  <c r="I175" i="7"/>
  <c r="H175" i="7"/>
  <c r="I174" i="7"/>
  <c r="H174" i="7"/>
  <c r="I173" i="7"/>
  <c r="H173" i="7"/>
  <c r="I172" i="7"/>
  <c r="H172" i="7"/>
  <c r="I171" i="7"/>
  <c r="H171" i="7"/>
  <c r="I170" i="7"/>
  <c r="H170" i="7"/>
  <c r="I169" i="7"/>
  <c r="H169" i="7"/>
  <c r="I168" i="7"/>
  <c r="H168" i="7"/>
  <c r="I167" i="7"/>
  <c r="H167" i="7"/>
  <c r="I166" i="7"/>
  <c r="H166" i="7"/>
  <c r="I165" i="7"/>
  <c r="H165" i="7"/>
  <c r="I164" i="7"/>
  <c r="H164" i="7"/>
  <c r="I163" i="7"/>
  <c r="H163" i="7"/>
  <c r="I162" i="7"/>
  <c r="H162" i="7"/>
  <c r="I161" i="7"/>
  <c r="H161" i="7"/>
  <c r="I160" i="7"/>
  <c r="H160" i="7"/>
  <c r="I159" i="7"/>
  <c r="H159" i="7"/>
  <c r="I158" i="7"/>
  <c r="H158" i="7"/>
  <c r="I157" i="7"/>
  <c r="H157" i="7"/>
  <c r="I156" i="7"/>
  <c r="H156" i="7"/>
  <c r="I155" i="7"/>
  <c r="H155" i="7"/>
  <c r="I154" i="7"/>
  <c r="H154" i="7"/>
  <c r="I153" i="7"/>
  <c r="H153" i="7"/>
  <c r="I152" i="7"/>
  <c r="H152" i="7"/>
  <c r="I151" i="7"/>
  <c r="H151" i="7"/>
  <c r="I150" i="7"/>
  <c r="H150" i="7"/>
  <c r="I149" i="7"/>
  <c r="H149" i="7"/>
  <c r="I148" i="7"/>
  <c r="H148" i="7"/>
  <c r="I147" i="7"/>
  <c r="H147" i="7"/>
  <c r="I146" i="7"/>
  <c r="H146" i="7"/>
  <c r="I145" i="7"/>
  <c r="H145" i="7"/>
  <c r="I144" i="7"/>
  <c r="H144" i="7"/>
  <c r="I143" i="7"/>
  <c r="H143" i="7"/>
  <c r="I142" i="7"/>
  <c r="H142" i="7"/>
  <c r="I141" i="7"/>
  <c r="H141" i="7"/>
  <c r="I140" i="7"/>
  <c r="H140" i="7"/>
  <c r="I139" i="7"/>
  <c r="H139" i="7"/>
  <c r="I138" i="7"/>
  <c r="H138" i="7"/>
  <c r="I137" i="7"/>
  <c r="H137" i="7"/>
  <c r="I136" i="7"/>
  <c r="H136" i="7"/>
  <c r="I135" i="7"/>
  <c r="H135" i="7"/>
  <c r="I134" i="7"/>
  <c r="H134" i="7"/>
  <c r="I133" i="7"/>
  <c r="H133" i="7"/>
  <c r="I132" i="7"/>
  <c r="H132" i="7"/>
  <c r="I131" i="7"/>
  <c r="H131" i="7"/>
  <c r="I130" i="7"/>
  <c r="H130" i="7"/>
  <c r="I129" i="7"/>
  <c r="H129" i="7"/>
  <c r="I128" i="7"/>
  <c r="H128" i="7"/>
  <c r="I127" i="7"/>
  <c r="H127" i="7"/>
  <c r="I126" i="7"/>
  <c r="H126" i="7"/>
  <c r="I125" i="7"/>
  <c r="H125" i="7"/>
  <c r="I124" i="7"/>
  <c r="H124" i="7"/>
  <c r="I123" i="7"/>
  <c r="H123" i="7"/>
  <c r="I122" i="7"/>
  <c r="H122" i="7"/>
  <c r="I121" i="7"/>
  <c r="H121" i="7"/>
  <c r="I120" i="7"/>
  <c r="H120" i="7"/>
  <c r="I119" i="7"/>
  <c r="H119" i="7"/>
  <c r="I118" i="7"/>
  <c r="H118" i="7"/>
  <c r="I117" i="7"/>
  <c r="H117" i="7"/>
  <c r="I116" i="7"/>
  <c r="H116" i="7"/>
  <c r="I115" i="7"/>
  <c r="H115" i="7"/>
  <c r="I114" i="7"/>
  <c r="H114" i="7"/>
  <c r="I113" i="7"/>
  <c r="H113" i="7"/>
  <c r="I112" i="7"/>
  <c r="H112" i="7"/>
  <c r="I111" i="7"/>
  <c r="H111" i="7"/>
  <c r="I110" i="7"/>
  <c r="H110" i="7"/>
  <c r="I109" i="7"/>
  <c r="H109" i="7"/>
  <c r="I108" i="7"/>
  <c r="H108" i="7"/>
  <c r="I107" i="7"/>
  <c r="H107" i="7"/>
  <c r="I106" i="7"/>
  <c r="H106" i="7"/>
  <c r="I105" i="7"/>
  <c r="H105" i="7"/>
  <c r="I104" i="7"/>
  <c r="H104" i="7"/>
  <c r="I103" i="7"/>
  <c r="H103" i="7"/>
  <c r="I102" i="7"/>
  <c r="H102" i="7"/>
  <c r="I101" i="7"/>
  <c r="H101" i="7"/>
  <c r="I100" i="7"/>
  <c r="H100" i="7"/>
  <c r="I99" i="7"/>
  <c r="H99" i="7"/>
  <c r="I98" i="7"/>
  <c r="H98" i="7"/>
  <c r="I97" i="7"/>
  <c r="H97" i="7"/>
  <c r="I96" i="7"/>
  <c r="H96" i="7"/>
  <c r="I95" i="7"/>
  <c r="H95" i="7"/>
  <c r="I94" i="7"/>
  <c r="H94" i="7"/>
  <c r="I93" i="7"/>
  <c r="H93" i="7"/>
  <c r="I92" i="7"/>
  <c r="H92" i="7"/>
  <c r="I91" i="7"/>
  <c r="H91" i="7"/>
  <c r="I90" i="7"/>
  <c r="H90" i="7"/>
  <c r="I89" i="7"/>
  <c r="H89" i="7"/>
  <c r="I88" i="7"/>
  <c r="H88" i="7"/>
  <c r="I87" i="7"/>
  <c r="H87" i="7"/>
  <c r="I86" i="7"/>
  <c r="H86" i="7"/>
  <c r="I85" i="7"/>
  <c r="H85" i="7"/>
  <c r="I84" i="7"/>
  <c r="H84" i="7"/>
  <c r="I83" i="7"/>
  <c r="H83" i="7"/>
  <c r="I82" i="7"/>
  <c r="H82" i="7"/>
  <c r="I81" i="7"/>
  <c r="H81" i="7"/>
  <c r="I80" i="7"/>
  <c r="H80" i="7"/>
  <c r="I79" i="7"/>
  <c r="H79" i="7"/>
  <c r="I78" i="7"/>
  <c r="H78" i="7"/>
  <c r="I77" i="7"/>
  <c r="H77" i="7"/>
  <c r="I76" i="7"/>
  <c r="H76" i="7"/>
  <c r="I75" i="7"/>
  <c r="H75" i="7"/>
  <c r="I74" i="7"/>
  <c r="H74" i="7"/>
  <c r="I73" i="7"/>
  <c r="H73" i="7"/>
  <c r="I72" i="7"/>
  <c r="H72" i="7"/>
  <c r="I71" i="7"/>
  <c r="H71" i="7"/>
  <c r="I70" i="7"/>
  <c r="H70" i="7"/>
  <c r="I69" i="7"/>
  <c r="H69" i="7"/>
  <c r="I68" i="7"/>
  <c r="H68" i="7"/>
  <c r="I67" i="7"/>
  <c r="H67" i="7"/>
  <c r="I66" i="7"/>
  <c r="H66" i="7"/>
  <c r="I65" i="7"/>
  <c r="H65" i="7"/>
  <c r="I64" i="7"/>
  <c r="H64" i="7"/>
  <c r="I63" i="7"/>
  <c r="H63" i="7"/>
  <c r="I62" i="7"/>
  <c r="H62" i="7"/>
  <c r="I61" i="7"/>
  <c r="H61" i="7"/>
  <c r="I60" i="7"/>
  <c r="H60" i="7"/>
  <c r="I59" i="7"/>
  <c r="H59" i="7"/>
  <c r="I58" i="7"/>
  <c r="H58" i="7"/>
  <c r="I57" i="7"/>
  <c r="H57" i="7"/>
  <c r="I56" i="7"/>
  <c r="H56" i="7"/>
  <c r="I55" i="7"/>
  <c r="H55" i="7"/>
  <c r="I54" i="7"/>
  <c r="H54" i="7"/>
  <c r="I53" i="7"/>
  <c r="H53" i="7"/>
  <c r="I52" i="7"/>
  <c r="H52" i="7"/>
  <c r="I51" i="7"/>
  <c r="H51" i="7"/>
  <c r="I50" i="7"/>
  <c r="H50" i="7"/>
  <c r="I49" i="7"/>
  <c r="H49" i="7"/>
  <c r="I48" i="7"/>
  <c r="H48" i="7"/>
  <c r="I47" i="7"/>
  <c r="H47" i="7"/>
  <c r="I46" i="7"/>
  <c r="H46" i="7"/>
  <c r="I45" i="7"/>
  <c r="H45" i="7"/>
  <c r="I44" i="7"/>
  <c r="H44" i="7"/>
  <c r="I43" i="7"/>
  <c r="H43" i="7"/>
  <c r="I42" i="7"/>
  <c r="H42" i="7"/>
  <c r="I41" i="7"/>
  <c r="H41" i="7"/>
  <c r="I40" i="7"/>
  <c r="H40" i="7"/>
  <c r="I39" i="7"/>
  <c r="H39" i="7"/>
  <c r="I38" i="7"/>
  <c r="H38" i="7"/>
  <c r="I37" i="7"/>
  <c r="H37" i="7"/>
  <c r="I36" i="7"/>
  <c r="H36" i="7"/>
  <c r="I35" i="7"/>
  <c r="H35" i="7"/>
  <c r="I34" i="7"/>
  <c r="H34" i="7"/>
  <c r="I33" i="7"/>
  <c r="H33" i="7"/>
  <c r="I32" i="7"/>
  <c r="H32" i="7"/>
  <c r="I31" i="7"/>
  <c r="H31" i="7"/>
  <c r="I30" i="7"/>
  <c r="H30" i="7"/>
  <c r="I29" i="7"/>
  <c r="H29" i="7"/>
  <c r="I28" i="7"/>
  <c r="H28" i="7"/>
  <c r="I27" i="7"/>
  <c r="H27" i="7"/>
  <c r="I26" i="7"/>
  <c r="H26" i="7"/>
  <c r="I25" i="7"/>
  <c r="H25" i="7"/>
  <c r="I24" i="7"/>
  <c r="H24" i="7"/>
  <c r="I23" i="7"/>
  <c r="H23" i="7"/>
  <c r="I22" i="7"/>
  <c r="H22" i="7"/>
  <c r="I21" i="7"/>
  <c r="H21" i="7"/>
  <c r="P20" i="7"/>
  <c r="I20" i="7"/>
  <c r="H20" i="7"/>
  <c r="I19" i="7"/>
  <c r="H19" i="7"/>
  <c r="Q18" i="7"/>
  <c r="I18" i="7"/>
  <c r="H18" i="7"/>
  <c r="P17" i="7"/>
  <c r="I17" i="7"/>
  <c r="H17" i="7"/>
  <c r="I16" i="7"/>
  <c r="H16" i="7"/>
  <c r="P15" i="7"/>
  <c r="I15" i="7"/>
  <c r="H15" i="7"/>
  <c r="P14" i="7"/>
  <c r="I14" i="7"/>
  <c r="H14" i="7"/>
  <c r="P13" i="7" a="1"/>
  <c r="P13" i="7"/>
  <c r="I13" i="7"/>
  <c r="H13" i="7"/>
  <c r="I12" i="7"/>
  <c r="H12" i="7"/>
  <c r="I11" i="7"/>
  <c r="H11" i="7"/>
  <c r="I10" i="7"/>
  <c r="H10" i="7"/>
  <c r="P9" i="7"/>
  <c r="I9" i="7"/>
  <c r="H9" i="7"/>
  <c r="I8" i="7"/>
  <c r="H8" i="7"/>
  <c r="I7" i="7"/>
  <c r="H7" i="7"/>
  <c r="P6" i="7"/>
  <c r="I6" i="7"/>
  <c r="H6" i="7"/>
  <c r="P5" i="7"/>
  <c r="I5" i="7"/>
  <c r="H5" i="7"/>
  <c r="K20" i="6"/>
  <c r="K13" i="6"/>
  <c r="K12" i="6" a="1"/>
  <c r="K12" i="6"/>
  <c r="K10" i="6"/>
  <c r="L7" i="6"/>
  <c r="L6" i="6"/>
  <c r="G254" i="4"/>
  <c r="F254" i="4"/>
  <c r="G251" i="4"/>
  <c r="F251" i="4"/>
  <c r="G248" i="4"/>
  <c r="F248" i="4"/>
  <c r="G247" i="4"/>
  <c r="F247" i="4"/>
  <c r="G246" i="4"/>
  <c r="F246" i="4"/>
  <c r="G245" i="4"/>
  <c r="F245" i="4"/>
  <c r="G244" i="4"/>
  <c r="F244" i="4"/>
  <c r="G243" i="4"/>
  <c r="F243" i="4"/>
  <c r="G242" i="4"/>
  <c r="F242" i="4"/>
  <c r="G241" i="4"/>
  <c r="F241" i="4"/>
  <c r="G240" i="4"/>
  <c r="F240" i="4"/>
  <c r="G239" i="4"/>
  <c r="F239" i="4"/>
  <c r="G238" i="4"/>
  <c r="F238" i="4"/>
  <c r="G237" i="4"/>
  <c r="F237" i="4"/>
  <c r="G236" i="4"/>
  <c r="F236" i="4"/>
  <c r="G235" i="4"/>
  <c r="F235" i="4"/>
  <c r="G234" i="4"/>
  <c r="F234" i="4"/>
  <c r="G233" i="4"/>
  <c r="F233" i="4"/>
  <c r="G232" i="4"/>
  <c r="F232" i="4"/>
  <c r="G231" i="4"/>
  <c r="F231" i="4"/>
  <c r="G230" i="4"/>
  <c r="F230" i="4"/>
  <c r="G229" i="4"/>
  <c r="F229" i="4"/>
  <c r="G228" i="4"/>
  <c r="F228" i="4"/>
  <c r="G227" i="4"/>
  <c r="F227" i="4"/>
  <c r="G226" i="4"/>
  <c r="F226" i="4"/>
  <c r="G225" i="4"/>
  <c r="F225" i="4"/>
  <c r="G224" i="4"/>
  <c r="F224" i="4"/>
  <c r="G223" i="4"/>
  <c r="F223" i="4"/>
  <c r="G222" i="4"/>
  <c r="F222" i="4"/>
  <c r="G221" i="4"/>
  <c r="F221" i="4"/>
  <c r="G220" i="4"/>
  <c r="F220" i="4"/>
  <c r="G219" i="4"/>
  <c r="F219" i="4"/>
  <c r="G218" i="4"/>
  <c r="F218" i="4"/>
  <c r="G217" i="4"/>
  <c r="F217" i="4"/>
  <c r="G216" i="4"/>
  <c r="F216" i="4"/>
  <c r="G215" i="4"/>
  <c r="F215" i="4"/>
  <c r="G214" i="4"/>
  <c r="F214" i="4"/>
  <c r="G213" i="4"/>
  <c r="F213" i="4"/>
  <c r="G212" i="4"/>
  <c r="F212" i="4"/>
  <c r="G211" i="4"/>
  <c r="F211" i="4"/>
  <c r="G210" i="4"/>
  <c r="F210" i="4"/>
  <c r="G209" i="4"/>
  <c r="F209" i="4"/>
  <c r="G208" i="4"/>
  <c r="F208" i="4"/>
  <c r="G207" i="4"/>
  <c r="F207" i="4"/>
  <c r="G206" i="4"/>
  <c r="F206" i="4"/>
  <c r="G205" i="4"/>
  <c r="F205" i="4"/>
  <c r="G204" i="4"/>
  <c r="F204" i="4"/>
  <c r="G203" i="4"/>
  <c r="F203" i="4"/>
  <c r="G202" i="4"/>
  <c r="F202" i="4"/>
  <c r="G201" i="4"/>
  <c r="F201" i="4"/>
  <c r="G200" i="4"/>
  <c r="F200" i="4"/>
  <c r="G199" i="4"/>
  <c r="F199" i="4"/>
  <c r="G198" i="4"/>
  <c r="F198" i="4"/>
  <c r="G197" i="4"/>
  <c r="F197" i="4"/>
  <c r="G196" i="4"/>
  <c r="F196" i="4"/>
  <c r="G195" i="4"/>
  <c r="F195" i="4"/>
  <c r="G194" i="4"/>
  <c r="F194" i="4"/>
  <c r="G193" i="4"/>
  <c r="F193" i="4"/>
  <c r="G192" i="4"/>
  <c r="F192" i="4"/>
  <c r="G191" i="4"/>
  <c r="F191" i="4"/>
  <c r="G190" i="4"/>
  <c r="F190" i="4"/>
  <c r="G189" i="4"/>
  <c r="F189" i="4"/>
  <c r="G188" i="4"/>
  <c r="F188" i="4"/>
  <c r="G187" i="4"/>
  <c r="F187" i="4"/>
  <c r="G186" i="4"/>
  <c r="F186" i="4"/>
  <c r="G185" i="4"/>
  <c r="F185" i="4"/>
  <c r="G184" i="4"/>
  <c r="F184" i="4"/>
  <c r="G183" i="4"/>
  <c r="F183" i="4"/>
  <c r="G182" i="4"/>
  <c r="F182" i="4"/>
  <c r="G181" i="4"/>
  <c r="F181" i="4"/>
  <c r="G180" i="4"/>
  <c r="F180" i="4"/>
  <c r="G179" i="4"/>
  <c r="F179" i="4"/>
  <c r="G178" i="4"/>
  <c r="F178" i="4"/>
  <c r="G177" i="4"/>
  <c r="F177" i="4"/>
  <c r="G176" i="4"/>
  <c r="F176" i="4"/>
  <c r="G175" i="4"/>
  <c r="F175" i="4"/>
  <c r="G174" i="4"/>
  <c r="F174" i="4"/>
  <c r="G173" i="4"/>
  <c r="F173" i="4"/>
  <c r="G172" i="4"/>
  <c r="F172" i="4"/>
  <c r="G171" i="4"/>
  <c r="F171" i="4"/>
  <c r="G170" i="4"/>
  <c r="F170" i="4"/>
  <c r="G169" i="4"/>
  <c r="F169" i="4"/>
  <c r="G168" i="4"/>
  <c r="F168" i="4"/>
  <c r="G167" i="4"/>
  <c r="F167" i="4"/>
  <c r="G166" i="4"/>
  <c r="F166" i="4"/>
  <c r="G165" i="4"/>
  <c r="F165" i="4"/>
  <c r="G164" i="4"/>
  <c r="F164" i="4"/>
  <c r="G163" i="4"/>
  <c r="F163" i="4"/>
  <c r="G162" i="4"/>
  <c r="F162" i="4"/>
  <c r="G161" i="4"/>
  <c r="F161" i="4"/>
  <c r="G160" i="4"/>
  <c r="F160" i="4"/>
  <c r="G159" i="4"/>
  <c r="F159" i="4"/>
  <c r="G158" i="4"/>
  <c r="F158" i="4"/>
  <c r="G157" i="4"/>
  <c r="F157" i="4"/>
  <c r="G156" i="4"/>
  <c r="F156" i="4"/>
  <c r="G155" i="4"/>
  <c r="F155" i="4"/>
  <c r="G154" i="4"/>
  <c r="F154" i="4"/>
  <c r="G153" i="4"/>
  <c r="F153" i="4"/>
  <c r="G152" i="4"/>
  <c r="F152" i="4"/>
  <c r="G151" i="4"/>
  <c r="F151" i="4"/>
  <c r="G150" i="4"/>
  <c r="F150" i="4"/>
  <c r="G149" i="4"/>
  <c r="F149" i="4"/>
  <c r="G148" i="4"/>
  <c r="F148" i="4"/>
  <c r="G147" i="4"/>
  <c r="F147" i="4"/>
  <c r="G146" i="4"/>
  <c r="F146" i="4"/>
  <c r="G145" i="4"/>
  <c r="F145" i="4"/>
  <c r="G144" i="4"/>
  <c r="F144" i="4"/>
  <c r="G143" i="4"/>
  <c r="F143" i="4"/>
  <c r="G142" i="4"/>
  <c r="F142" i="4"/>
  <c r="G141" i="4"/>
  <c r="F141" i="4"/>
  <c r="G140" i="4"/>
  <c r="F140" i="4"/>
  <c r="G139" i="4"/>
  <c r="F139" i="4"/>
  <c r="G138" i="4"/>
  <c r="F138" i="4"/>
  <c r="G137" i="4"/>
  <c r="F137" i="4"/>
  <c r="G136" i="4"/>
  <c r="F136" i="4"/>
  <c r="G135" i="4"/>
  <c r="F135" i="4"/>
  <c r="G134" i="4"/>
  <c r="F134" i="4"/>
  <c r="G133" i="4"/>
  <c r="F133" i="4"/>
  <c r="G132" i="4"/>
  <c r="F132" i="4"/>
  <c r="G131" i="4"/>
  <c r="F131" i="4"/>
  <c r="G130" i="4"/>
  <c r="F130" i="4"/>
  <c r="G129" i="4"/>
  <c r="F129" i="4"/>
  <c r="G128" i="4"/>
  <c r="F128" i="4"/>
  <c r="G127" i="4"/>
  <c r="F127" i="4"/>
  <c r="G126" i="4"/>
  <c r="F126" i="4"/>
  <c r="G125" i="4"/>
  <c r="F125" i="4"/>
  <c r="G124" i="4"/>
  <c r="F124" i="4"/>
  <c r="G123" i="4"/>
  <c r="F123" i="4"/>
  <c r="G122" i="4"/>
  <c r="F122" i="4"/>
  <c r="G121" i="4"/>
  <c r="F121" i="4"/>
  <c r="G120" i="4"/>
  <c r="F120" i="4"/>
  <c r="G119" i="4"/>
  <c r="F119" i="4"/>
  <c r="G118" i="4"/>
  <c r="F118" i="4"/>
  <c r="G117" i="4"/>
  <c r="F117" i="4"/>
  <c r="G116" i="4"/>
  <c r="F116" i="4"/>
  <c r="G115" i="4"/>
  <c r="F115" i="4"/>
  <c r="G114" i="4"/>
  <c r="F114" i="4"/>
  <c r="G113" i="4"/>
  <c r="F113" i="4"/>
  <c r="G112" i="4"/>
  <c r="F112" i="4"/>
  <c r="G111" i="4"/>
  <c r="F111" i="4"/>
  <c r="G110" i="4"/>
  <c r="F110" i="4"/>
  <c r="G109" i="4"/>
  <c r="F109" i="4"/>
  <c r="G108" i="4"/>
  <c r="F108" i="4"/>
  <c r="G107" i="4"/>
  <c r="F107" i="4"/>
  <c r="G106" i="4"/>
  <c r="F106" i="4"/>
  <c r="G105" i="4"/>
  <c r="F105" i="4"/>
  <c r="G104" i="4"/>
  <c r="F104" i="4"/>
  <c r="G103" i="4"/>
  <c r="F103" i="4"/>
  <c r="G102" i="4"/>
  <c r="F102" i="4"/>
  <c r="G101" i="4"/>
  <c r="F101" i="4"/>
  <c r="G100" i="4"/>
  <c r="F100" i="4"/>
  <c r="G99" i="4"/>
  <c r="F99" i="4"/>
  <c r="G98" i="4"/>
  <c r="F98" i="4"/>
  <c r="G97" i="4"/>
  <c r="F97" i="4"/>
  <c r="G96" i="4"/>
  <c r="F96" i="4"/>
  <c r="G95" i="4"/>
  <c r="F95" i="4"/>
  <c r="G94" i="4"/>
  <c r="F94" i="4"/>
  <c r="G93" i="4"/>
  <c r="F93" i="4"/>
  <c r="G92" i="4"/>
  <c r="F92" i="4"/>
  <c r="G91" i="4"/>
  <c r="F91" i="4"/>
  <c r="G90" i="4"/>
  <c r="F90" i="4"/>
  <c r="G89" i="4"/>
  <c r="F89" i="4"/>
  <c r="G88" i="4"/>
  <c r="F88" i="4"/>
  <c r="G87" i="4"/>
  <c r="F87" i="4"/>
  <c r="G86" i="4"/>
  <c r="F86" i="4"/>
  <c r="G85" i="4"/>
  <c r="F85" i="4"/>
  <c r="G84" i="4"/>
  <c r="F84" i="4"/>
  <c r="G83" i="4"/>
  <c r="F83" i="4"/>
  <c r="G82" i="4"/>
  <c r="F82" i="4"/>
  <c r="G81" i="4"/>
  <c r="F81" i="4"/>
  <c r="G80" i="4"/>
  <c r="F80" i="4"/>
  <c r="G79" i="4"/>
  <c r="F79" i="4"/>
  <c r="G78" i="4"/>
  <c r="F78" i="4"/>
  <c r="G77" i="4"/>
  <c r="F77" i="4"/>
  <c r="G76" i="4"/>
  <c r="F76" i="4"/>
  <c r="G75" i="4"/>
  <c r="F75" i="4"/>
  <c r="G74" i="4"/>
  <c r="F74" i="4"/>
  <c r="G73" i="4"/>
  <c r="F73" i="4"/>
  <c r="G72" i="4"/>
  <c r="F72" i="4"/>
  <c r="G71" i="4"/>
  <c r="F71" i="4"/>
  <c r="G70" i="4"/>
  <c r="F70" i="4"/>
  <c r="G69" i="4"/>
  <c r="F69" i="4"/>
  <c r="G68" i="4"/>
  <c r="F68" i="4"/>
  <c r="G67" i="4"/>
  <c r="F67" i="4"/>
  <c r="G66" i="4"/>
  <c r="F66" i="4"/>
  <c r="G65" i="4"/>
  <c r="F65" i="4"/>
  <c r="G64" i="4"/>
  <c r="F64" i="4"/>
  <c r="G63" i="4"/>
  <c r="F63" i="4"/>
  <c r="G62" i="4"/>
  <c r="F62" i="4"/>
  <c r="G61" i="4"/>
  <c r="F61" i="4"/>
  <c r="G60" i="4"/>
  <c r="F60" i="4"/>
  <c r="G59" i="4"/>
  <c r="F59" i="4"/>
  <c r="G58" i="4"/>
  <c r="F58" i="4"/>
  <c r="G57" i="4"/>
  <c r="F57" i="4"/>
  <c r="G56" i="4"/>
  <c r="F56" i="4"/>
  <c r="G55" i="4"/>
  <c r="F55" i="4"/>
  <c r="G54" i="4"/>
  <c r="F54" i="4"/>
  <c r="G53" i="4"/>
  <c r="F53" i="4"/>
  <c r="G52" i="4"/>
  <c r="F52" i="4"/>
  <c r="G51" i="4"/>
  <c r="F51" i="4"/>
  <c r="G50" i="4"/>
  <c r="F50" i="4"/>
  <c r="G49" i="4"/>
  <c r="F49" i="4"/>
  <c r="G48" i="4"/>
  <c r="F48" i="4"/>
  <c r="G47" i="4"/>
  <c r="F47" i="4"/>
  <c r="G46" i="4"/>
  <c r="F46" i="4"/>
  <c r="G45" i="4"/>
  <c r="F45" i="4"/>
  <c r="G44" i="4"/>
  <c r="F44" i="4"/>
  <c r="G43" i="4"/>
  <c r="F43" i="4"/>
  <c r="G42" i="4"/>
  <c r="F42" i="4"/>
  <c r="G41" i="4"/>
  <c r="F41" i="4"/>
  <c r="G40" i="4"/>
  <c r="F40" i="4"/>
  <c r="G39" i="4"/>
  <c r="F39" i="4"/>
  <c r="G38" i="4"/>
  <c r="F38" i="4"/>
  <c r="G37" i="4"/>
  <c r="F37" i="4"/>
  <c r="G36" i="4"/>
  <c r="F36" i="4"/>
  <c r="G35" i="4"/>
  <c r="F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K24" i="4"/>
  <c r="G24" i="4"/>
  <c r="F24" i="4"/>
  <c r="G23" i="4"/>
  <c r="F23" i="4"/>
  <c r="G22" i="4"/>
  <c r="F22" i="4"/>
  <c r="L21" i="4"/>
  <c r="G21" i="4"/>
  <c r="F21" i="4"/>
  <c r="K20" i="4"/>
  <c r="G20" i="4"/>
  <c r="F20" i="4"/>
  <c r="G19" i="4"/>
  <c r="F19" i="4"/>
  <c r="G18" i="4"/>
  <c r="F18" i="4"/>
  <c r="G17" i="4"/>
  <c r="F17" i="4"/>
  <c r="K16" i="4"/>
  <c r="G16" i="4"/>
  <c r="F16" i="4"/>
  <c r="K15" i="4" a="1"/>
  <c r="K15" i="4"/>
  <c r="G15" i="4"/>
  <c r="F15" i="4"/>
  <c r="G14" i="4"/>
  <c r="F14" i="4"/>
  <c r="G13" i="4"/>
  <c r="F13" i="4"/>
  <c r="K12" i="4"/>
  <c r="G12" i="4"/>
  <c r="F12" i="4"/>
  <c r="G11" i="4"/>
  <c r="F11" i="4"/>
  <c r="G10" i="4"/>
  <c r="F10" i="4"/>
  <c r="K9" i="4"/>
  <c r="G9" i="4"/>
  <c r="F9" i="4"/>
  <c r="L8" i="4"/>
  <c r="G8" i="4"/>
  <c r="F8" i="4"/>
  <c r="L7" i="4"/>
  <c r="G7" i="4"/>
  <c r="F7" i="4"/>
  <c r="G6" i="4"/>
  <c r="F6" i="4"/>
  <c r="G5" i="4"/>
  <c r="F5" i="4"/>
  <c r="G4" i="4"/>
  <c r="F4" i="4"/>
  <c r="G3" i="4"/>
  <c r="F3" i="4"/>
  <c r="G254" i="1"/>
  <c r="F254" i="1"/>
  <c r="G251" i="1"/>
  <c r="F251" i="1"/>
  <c r="G248" i="1"/>
  <c r="F248" i="1"/>
  <c r="G247" i="1"/>
  <c r="F247" i="1"/>
  <c r="G246" i="1"/>
  <c r="F246" i="1"/>
  <c r="G245" i="1"/>
  <c r="F245" i="1"/>
  <c r="G244" i="1"/>
  <c r="F244" i="1"/>
  <c r="G243" i="1"/>
  <c r="F243" i="1"/>
  <c r="G242" i="1"/>
  <c r="F242" i="1"/>
  <c r="G241" i="1"/>
  <c r="F241" i="1"/>
  <c r="G240" i="1"/>
  <c r="F240" i="1"/>
  <c r="G239" i="1"/>
  <c r="F239" i="1"/>
  <c r="G238" i="1"/>
  <c r="F238" i="1"/>
  <c r="G237" i="1"/>
  <c r="F237" i="1"/>
  <c r="G236" i="1"/>
  <c r="F236" i="1"/>
  <c r="G235" i="1"/>
  <c r="F235" i="1"/>
  <c r="G234" i="1"/>
  <c r="F234" i="1"/>
  <c r="G233" i="1"/>
  <c r="F233" i="1"/>
  <c r="G232" i="1"/>
  <c r="F232" i="1"/>
  <c r="G231" i="1"/>
  <c r="F231" i="1"/>
  <c r="G230" i="1"/>
  <c r="F230" i="1"/>
  <c r="G229" i="1"/>
  <c r="F229" i="1"/>
  <c r="G228" i="1"/>
  <c r="F228" i="1"/>
  <c r="G227" i="1"/>
  <c r="F227" i="1"/>
  <c r="G226" i="1"/>
  <c r="F226" i="1"/>
  <c r="G225" i="1"/>
  <c r="F225" i="1"/>
  <c r="G224" i="1"/>
  <c r="F224" i="1"/>
  <c r="G223" i="1"/>
  <c r="F223" i="1"/>
  <c r="G222" i="1"/>
  <c r="F222" i="1"/>
  <c r="G221" i="1"/>
  <c r="F221" i="1"/>
  <c r="G220" i="1"/>
  <c r="F220" i="1"/>
  <c r="G219" i="1"/>
  <c r="F219" i="1"/>
  <c r="G218" i="1"/>
  <c r="F218" i="1"/>
  <c r="G217" i="1"/>
  <c r="F217" i="1"/>
  <c r="G216" i="1"/>
  <c r="F216" i="1"/>
  <c r="G215" i="1"/>
  <c r="F215" i="1"/>
  <c r="G214" i="1"/>
  <c r="F214" i="1"/>
  <c r="G213" i="1"/>
  <c r="F213" i="1"/>
  <c r="G212" i="1"/>
  <c r="F212" i="1"/>
  <c r="G211" i="1"/>
  <c r="F211" i="1"/>
  <c r="G210" i="1"/>
  <c r="F210" i="1"/>
  <c r="G209" i="1"/>
  <c r="F209" i="1"/>
  <c r="G208" i="1"/>
  <c r="F208" i="1"/>
  <c r="G207" i="1"/>
  <c r="F207" i="1"/>
  <c r="G206" i="1"/>
  <c r="F206" i="1"/>
  <c r="G205" i="1"/>
  <c r="F205" i="1"/>
  <c r="G204" i="1"/>
  <c r="F204" i="1"/>
  <c r="G203" i="1"/>
  <c r="F203" i="1"/>
  <c r="G202" i="1"/>
  <c r="F202" i="1"/>
  <c r="G201" i="1"/>
  <c r="F201" i="1"/>
  <c r="G200" i="1"/>
  <c r="F200" i="1"/>
  <c r="G199" i="1"/>
  <c r="F199" i="1"/>
  <c r="G198" i="1"/>
  <c r="F198" i="1"/>
  <c r="G197" i="1"/>
  <c r="F197" i="1"/>
  <c r="G196" i="1"/>
  <c r="F196" i="1"/>
  <c r="G195" i="1"/>
  <c r="F195" i="1"/>
  <c r="G194" i="1"/>
  <c r="F194" i="1"/>
  <c r="G193" i="1"/>
  <c r="F193" i="1"/>
  <c r="G192" i="1"/>
  <c r="F192" i="1"/>
  <c r="G191" i="1"/>
  <c r="F191" i="1"/>
  <c r="G190" i="1"/>
  <c r="F190" i="1"/>
  <c r="G189" i="1"/>
  <c r="F189" i="1"/>
  <c r="G188" i="1"/>
  <c r="F188" i="1"/>
  <c r="G187" i="1"/>
  <c r="F187" i="1"/>
  <c r="G186" i="1"/>
  <c r="F186" i="1"/>
  <c r="G185" i="1"/>
  <c r="F185" i="1"/>
  <c r="G184" i="1"/>
  <c r="F184" i="1"/>
  <c r="G183" i="1"/>
  <c r="F183" i="1"/>
  <c r="G182" i="1"/>
  <c r="F182" i="1"/>
  <c r="G181" i="1"/>
  <c r="F181" i="1"/>
  <c r="G180" i="1"/>
  <c r="F180" i="1"/>
  <c r="G179" i="1"/>
  <c r="F179" i="1"/>
  <c r="G178" i="1"/>
  <c r="F178" i="1"/>
  <c r="G177" i="1"/>
  <c r="F177" i="1"/>
  <c r="G176" i="1"/>
  <c r="F176" i="1"/>
  <c r="G175" i="1"/>
  <c r="F175" i="1"/>
  <c r="G174" i="1"/>
  <c r="F174" i="1"/>
  <c r="G173" i="1"/>
  <c r="F173" i="1"/>
  <c r="G172" i="1"/>
  <c r="F172" i="1"/>
  <c r="G171" i="1"/>
  <c r="F171" i="1"/>
  <c r="G170" i="1"/>
  <c r="F170" i="1"/>
  <c r="G169" i="1"/>
  <c r="F169" i="1"/>
  <c r="G168" i="1"/>
  <c r="F168" i="1"/>
  <c r="G167" i="1"/>
  <c r="F167" i="1"/>
  <c r="G166" i="1"/>
  <c r="F166" i="1"/>
  <c r="G165" i="1"/>
  <c r="F165" i="1"/>
  <c r="G164" i="1"/>
  <c r="F164" i="1"/>
  <c r="G163" i="1"/>
  <c r="F163" i="1"/>
  <c r="G162" i="1"/>
  <c r="F162" i="1"/>
  <c r="G161" i="1"/>
  <c r="F161" i="1"/>
  <c r="G160" i="1"/>
  <c r="F160" i="1"/>
  <c r="G159" i="1"/>
  <c r="F159" i="1"/>
  <c r="G158" i="1"/>
  <c r="F158" i="1"/>
  <c r="G157" i="1"/>
  <c r="F157" i="1"/>
  <c r="G156" i="1"/>
  <c r="F156" i="1"/>
  <c r="G155" i="1"/>
  <c r="F155" i="1"/>
  <c r="G154" i="1"/>
  <c r="F154" i="1"/>
  <c r="G153" i="1"/>
  <c r="F153" i="1"/>
  <c r="G152" i="1"/>
  <c r="F152" i="1"/>
  <c r="G151" i="1"/>
  <c r="F151" i="1"/>
  <c r="G150" i="1"/>
  <c r="F150" i="1"/>
  <c r="G149" i="1"/>
  <c r="F149" i="1"/>
  <c r="G148" i="1"/>
  <c r="F148" i="1"/>
  <c r="G147" i="1"/>
  <c r="F147" i="1"/>
  <c r="G146" i="1"/>
  <c r="F146" i="1"/>
  <c r="G145" i="1"/>
  <c r="F145" i="1"/>
  <c r="G144" i="1"/>
  <c r="F144" i="1"/>
  <c r="G143" i="1"/>
  <c r="F143" i="1"/>
  <c r="G142" i="1"/>
  <c r="F142" i="1"/>
  <c r="G141" i="1"/>
  <c r="F141" i="1"/>
  <c r="G140" i="1"/>
  <c r="F140" i="1"/>
  <c r="G139" i="1"/>
  <c r="F139" i="1"/>
  <c r="G138" i="1"/>
  <c r="F138" i="1"/>
  <c r="G137" i="1"/>
  <c r="F137" i="1"/>
  <c r="G136" i="1"/>
  <c r="F136" i="1"/>
  <c r="G135" i="1"/>
  <c r="F135" i="1"/>
  <c r="G134" i="1"/>
  <c r="F134" i="1"/>
  <c r="G133" i="1"/>
  <c r="F133" i="1"/>
  <c r="G132" i="1"/>
  <c r="F132" i="1"/>
  <c r="G131" i="1"/>
  <c r="F131" i="1"/>
  <c r="G130" i="1"/>
  <c r="F130" i="1"/>
  <c r="G129" i="1"/>
  <c r="F129" i="1"/>
  <c r="G128" i="1"/>
  <c r="F128" i="1"/>
  <c r="G127" i="1"/>
  <c r="F127" i="1"/>
  <c r="G126" i="1"/>
  <c r="F126" i="1"/>
  <c r="G125" i="1"/>
  <c r="F125" i="1"/>
  <c r="G124" i="1"/>
  <c r="F124" i="1"/>
  <c r="G123" i="1"/>
  <c r="F123" i="1"/>
  <c r="G122" i="1"/>
  <c r="F122" i="1"/>
  <c r="G121" i="1"/>
  <c r="F121" i="1"/>
  <c r="G120" i="1"/>
  <c r="F120" i="1"/>
  <c r="G119" i="1"/>
  <c r="F119" i="1"/>
  <c r="G118" i="1"/>
  <c r="F118" i="1"/>
  <c r="G117" i="1"/>
  <c r="F117" i="1"/>
  <c r="G116" i="1"/>
  <c r="F116" i="1"/>
  <c r="G115" i="1"/>
  <c r="F115" i="1"/>
  <c r="G114" i="1"/>
  <c r="F114" i="1"/>
  <c r="G113" i="1"/>
  <c r="F113" i="1"/>
  <c r="G112" i="1"/>
  <c r="F112" i="1"/>
  <c r="G111" i="1"/>
  <c r="F111" i="1"/>
  <c r="G110" i="1"/>
  <c r="F110" i="1"/>
  <c r="G109" i="1"/>
  <c r="F109" i="1"/>
  <c r="G108" i="1"/>
  <c r="F108" i="1"/>
  <c r="G107" i="1"/>
  <c r="F107" i="1"/>
  <c r="G106" i="1"/>
  <c r="F106" i="1"/>
  <c r="G105" i="1"/>
  <c r="F105" i="1"/>
  <c r="G104" i="1"/>
  <c r="F104" i="1"/>
  <c r="G103" i="1"/>
  <c r="F103" i="1"/>
  <c r="G102" i="1"/>
  <c r="F102" i="1"/>
  <c r="G101" i="1"/>
  <c r="F101" i="1"/>
  <c r="G100" i="1"/>
  <c r="F100" i="1"/>
  <c r="G99" i="1"/>
  <c r="F99" i="1"/>
  <c r="G98" i="1"/>
  <c r="F98" i="1"/>
  <c r="G97" i="1"/>
  <c r="F97" i="1"/>
  <c r="G96" i="1"/>
  <c r="F96" i="1"/>
  <c r="G95" i="1"/>
  <c r="F95" i="1"/>
  <c r="G94" i="1"/>
  <c r="F94" i="1"/>
  <c r="G93" i="1"/>
  <c r="F93" i="1"/>
  <c r="G92" i="1"/>
  <c r="F92" i="1"/>
  <c r="G91" i="1"/>
  <c r="F91" i="1"/>
  <c r="G90" i="1"/>
  <c r="F90" i="1"/>
  <c r="G89" i="1"/>
  <c r="F89" i="1"/>
  <c r="G88" i="1"/>
  <c r="F88" i="1"/>
  <c r="G87" i="1"/>
  <c r="F87" i="1"/>
  <c r="G86" i="1"/>
  <c r="F86" i="1"/>
  <c r="G85" i="1"/>
  <c r="F85" i="1"/>
  <c r="G84" i="1"/>
  <c r="F84" i="1"/>
  <c r="G83" i="1"/>
  <c r="F83" i="1"/>
  <c r="G82" i="1"/>
  <c r="F82" i="1"/>
  <c r="G81" i="1"/>
  <c r="F81" i="1"/>
  <c r="G80" i="1"/>
  <c r="F80" i="1"/>
  <c r="G79" i="1"/>
  <c r="F79" i="1"/>
  <c r="G78" i="1"/>
  <c r="F78" i="1"/>
  <c r="G77" i="1"/>
  <c r="F77" i="1"/>
  <c r="G76" i="1"/>
  <c r="F76" i="1"/>
  <c r="G75" i="1"/>
  <c r="F75" i="1"/>
  <c r="G74" i="1"/>
  <c r="F74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K24" i="1"/>
  <c r="G24" i="1"/>
  <c r="F24" i="1"/>
  <c r="G23" i="1"/>
  <c r="F23" i="1"/>
  <c r="G22" i="1"/>
  <c r="F22" i="1"/>
  <c r="L21" i="1"/>
  <c r="G21" i="1"/>
  <c r="F21" i="1"/>
  <c r="K20" i="1"/>
  <c r="G20" i="1"/>
  <c r="F20" i="1"/>
  <c r="G19" i="1"/>
  <c r="F19" i="1"/>
  <c r="G18" i="1"/>
  <c r="F18" i="1"/>
  <c r="G17" i="1"/>
  <c r="F17" i="1"/>
  <c r="K16" i="1"/>
  <c r="G16" i="1"/>
  <c r="F16" i="1"/>
  <c r="K15" i="1" a="1"/>
  <c r="K15" i="1"/>
  <c r="G15" i="1"/>
  <c r="F15" i="1"/>
  <c r="G14" i="1"/>
  <c r="F14" i="1"/>
  <c r="G13" i="1"/>
  <c r="F13" i="1"/>
  <c r="K12" i="1"/>
  <c r="G12" i="1"/>
  <c r="F12" i="1"/>
  <c r="G11" i="1"/>
  <c r="F11" i="1"/>
  <c r="G10" i="1"/>
  <c r="F10" i="1"/>
  <c r="K9" i="1"/>
  <c r="G9" i="1"/>
  <c r="F9" i="1"/>
  <c r="L8" i="1"/>
  <c r="G8" i="1"/>
  <c r="F8" i="1"/>
  <c r="L7" i="1"/>
  <c r="G7" i="1"/>
  <c r="F7" i="1"/>
  <c r="G6" i="1"/>
  <c r="F6" i="1"/>
  <c r="G5" i="1"/>
  <c r="F5" i="1"/>
  <c r="G4" i="1"/>
  <c r="F4" i="1"/>
  <c r="G3" i="1"/>
  <c r="F3" i="1"/>
</calcChain>
</file>

<file path=xl/sharedStrings.xml><?xml version="1.0" encoding="utf-8"?>
<sst xmlns="http://schemas.openxmlformats.org/spreadsheetml/2006/main" count="449" uniqueCount="201">
  <si>
    <t>Date</t>
  </si>
  <si>
    <t>CLOSING ON NIFTY50</t>
  </si>
  <si>
    <t>CLOSING ON S&amp;P500</t>
  </si>
  <si>
    <t>DR</t>
  </si>
  <si>
    <t>AR</t>
  </si>
  <si>
    <t>RETURNS ON NIFTY50</t>
  </si>
  <si>
    <t>RETURNS ON S&amp;P500</t>
  </si>
  <si>
    <t>~</t>
  </si>
  <si>
    <t>R</t>
  </si>
  <si>
    <t>W</t>
  </si>
  <si>
    <t>RW</t>
  </si>
  <si>
    <t>PR</t>
  </si>
  <si>
    <t>Rf</t>
  </si>
  <si>
    <t>PSD</t>
  </si>
  <si>
    <t>ASD</t>
  </si>
  <si>
    <t>NIFTY50</t>
  </si>
  <si>
    <t>S&amp;P500</t>
  </si>
  <si>
    <t>SR</t>
  </si>
  <si>
    <t>closing on nifty50</t>
  </si>
  <si>
    <t>closing on s&amp;p500</t>
  </si>
  <si>
    <t>Return on nifty50</t>
  </si>
  <si>
    <t>Reuturn on s&amp;p500</t>
  </si>
  <si>
    <t>CLOSING PRICES</t>
  </si>
  <si>
    <t>DAILY RETURNS</t>
  </si>
  <si>
    <t>SBIN.NS</t>
  </si>
  <si>
    <t>TATASTEEL.NS</t>
  </si>
  <si>
    <t>RSBIN</t>
  </si>
  <si>
    <t>RTATASTEEL</t>
  </si>
  <si>
    <t>Close</t>
  </si>
  <si>
    <t>RETURNS</t>
  </si>
  <si>
    <t>13-04-2022</t>
  </si>
  <si>
    <t>Returns</t>
  </si>
  <si>
    <t>Weights</t>
  </si>
  <si>
    <t>WR</t>
  </si>
  <si>
    <t>18-04-2022</t>
  </si>
  <si>
    <t>19-04-2022</t>
  </si>
  <si>
    <t>20-04-2022</t>
  </si>
  <si>
    <t>21-04-2022</t>
  </si>
  <si>
    <t>22-04-2022</t>
  </si>
  <si>
    <t>Portfolio Return</t>
  </si>
  <si>
    <t>25-04-2022</t>
  </si>
  <si>
    <t>26-04-2022</t>
  </si>
  <si>
    <t>rf</t>
  </si>
  <si>
    <t>27-04-2022</t>
  </si>
  <si>
    <t>28-04-2022</t>
  </si>
  <si>
    <t>PV</t>
  </si>
  <si>
    <t>29-04-2022</t>
  </si>
  <si>
    <t>RTATASTEEEL</t>
  </si>
  <si>
    <t>Sharpe Ratio</t>
  </si>
  <si>
    <t>13-05-2022</t>
  </si>
  <si>
    <t>16-05-2022</t>
  </si>
  <si>
    <t>17-05-2022</t>
  </si>
  <si>
    <t>18-05-2022</t>
  </si>
  <si>
    <t>19-05-2022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</si>
  <si>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</si>
  <si>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</si>
  <si>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</si>
  <si>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</si>
  <si>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</si>
  <si>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</si>
  <si>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</si>
  <si>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</si>
  <si>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</si>
  <si>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</si>
  <si>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</si>
  <si>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</si>
  <si>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</si>
  <si>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</si>
  <si>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</si>
  <si>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</si>
  <si>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</si>
  <si>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</si>
  <si>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</si>
  <si>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</si>
  <si>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</si>
  <si>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</si>
  <si>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13-07-2022</t>
  </si>
  <si>
    <t>14-07-2022</t>
  </si>
  <si>
    <t>15-07-2022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</si>
  <si>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</si>
  <si>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</si>
  <si>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</si>
  <si>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</si>
  <si>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</si>
  <si>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</si>
  <si>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</si>
  <si>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</si>
  <si>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</si>
  <si>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</si>
  <si>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</si>
  <si>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</si>
  <si>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</si>
  <si>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</si>
  <si>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</si>
  <si>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</si>
  <si>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</si>
  <si>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</si>
  <si>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</si>
  <si>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</si>
  <si>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30-08-2022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</si>
  <si>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</si>
  <si>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</si>
  <si>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</si>
  <si>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</si>
  <si>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</si>
  <si>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</si>
  <si>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</si>
  <si>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</si>
  <si>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</si>
  <si>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</si>
  <si>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</si>
  <si>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</si>
  <si>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</si>
  <si>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</si>
  <si>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</si>
  <si>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</si>
  <si>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</si>
  <si>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</si>
  <si>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</si>
  <si>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</si>
  <si>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</si>
  <si>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</si>
  <si>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</si>
  <si>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27-10-2022</t>
  </si>
  <si>
    <t>28-10-2022</t>
  </si>
  <si>
    <t>31-10-2022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</si>
  <si>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</si>
  <si>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</si>
  <si>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</si>
  <si>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</si>
  <si>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</si>
  <si>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</si>
  <si>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</si>
  <si>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</si>
  <si>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</si>
  <si>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</si>
  <si>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</si>
  <si>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</si>
  <si>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</si>
  <si>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</si>
  <si>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</si>
  <si>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</si>
  <si>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</si>
  <si>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</si>
  <si>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</si>
  <si>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</si>
  <si>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</si>
  <si>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</si>
  <si>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</si>
  <si>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</si>
  <si>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</si>
  <si>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</si>
  <si>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</si>
  <si>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</si>
  <si>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</si>
  <si>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</si>
  <si>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</si>
  <si>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</si>
  <si>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</si>
  <si>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</si>
  <si>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</si>
  <si>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</si>
  <si>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27-01-2023</t>
  </si>
  <si>
    <t>30-01-2023</t>
  </si>
  <si>
    <t>31-01-2023</t>
  </si>
  <si>
    <t>13-02-2023</t>
  </si>
  <si>
    <t>14-02-2023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</si>
  <si>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</si>
  <si>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</si>
  <si>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</si>
  <si>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</si>
  <si>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</si>
  <si>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</si>
  <si>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</si>
  <si>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</si>
  <si>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</si>
  <si>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</si>
  <si>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</si>
  <si>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</si>
  <si>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</si>
  <si>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</si>
  <si>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</si>
  <si>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</si>
  <si>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</si>
  <si>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</si>
  <si>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</si>
  <si>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</si>
  <si>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</si>
  <si>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</si>
  <si>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</si>
  <si>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31-03-2023</t>
  </si>
  <si>
    <t>Daily Returns</t>
  </si>
  <si>
    <t>Annualized Returns</t>
  </si>
  <si>
    <t>SBIN</t>
  </si>
  <si>
    <t>TATASTEEL</t>
  </si>
  <si>
    <t>The weights are from optimized portfolio</t>
  </si>
  <si>
    <t>better returns</t>
  </si>
  <si>
    <t>Lesser volatility</t>
  </si>
  <si>
    <t>better sharpe ratio</t>
  </si>
  <si>
    <t>Daily returns</t>
  </si>
  <si>
    <t>annualized returns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</si>
</sst>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\-d\-yyyy"/>
    <numFmt numFmtId="165" formatCode="mm\-dd\-yyyy"/>
  </numFmts>
  <fonts count="7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sz val="11"/>
      <color rgb="FF000000"/>
      <name val="Calibri"/>
      <family val="2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14" fontId="0" fillId="0" borderId="0" xfId="0" applyNumberFormat="1"/>
    <xf numFmtId="0" fontId="0" fillId="0" borderId="1" xfId="0" applyBorder="1"/>
    <xf numFmtId="0" fontId="1" fillId="0" borderId="2" xfId="0" applyFont="1" applyBorder="1" applyAlignment="1">
      <alignment horizontal="center"/>
    </xf>
    <xf numFmtId="11" fontId="0" fillId="0" borderId="0" xfId="0" applyNumberFormat="1"/>
    <xf numFmtId="0" fontId="6" fillId="2" borderId="0" xfId="0" applyFont="1" applyFill="1"/>
    <xf numFmtId="0" fontId="6" fillId="0" borderId="0" xfId="0" applyFont="1"/>
    <xf numFmtId="0" fontId="6" fillId="3" borderId="0" xfId="0" applyFont="1" applyFill="1"/>
    <xf numFmtId="0" fontId="4" fillId="0" borderId="0" xfId="0" applyFont="1"/>
    <xf numFmtId="0" fontId="4" fillId="0" borderId="0" xfId="0" applyFont="1" applyAlignment="1">
      <alignment horizontal="right"/>
    </xf>
    <xf numFmtId="165" fontId="4" fillId="0" borderId="0" xfId="0" applyNumberFormat="1" applyFont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1" xfId="0" applyFont="1" applyBorder="1"/>
    <xf numFmtId="0" fontId="3" fillId="0" borderId="0" xfId="0" applyFont="1" applyAlignment="1">
      <alignment horizontal="center"/>
    </xf>
    <xf numFmtId="164" fontId="4" fillId="0" borderId="0" xfId="0" applyNumberFormat="1" applyFont="1" applyAlignment="1">
      <alignment horizontal="right"/>
    </xf>
    <xf numFmtId="0" fontId="2" fillId="4" borderId="0" xfId="0" applyFont="1" applyFill="1"/>
    <xf numFmtId="14" fontId="2" fillId="0" borderId="0" xfId="0" applyNumberFormat="1" applyFont="1"/>
    <xf numFmtId="0" fontId="3" fillId="0" borderId="2" xfId="0" applyFont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292100</xdr:colOff>
      <xdr:row>12</xdr:row>
      <xdr:rowOff>25400</xdr:rowOff>
    </xdr:from>
    <xdr:to>
      <xdr:col>13</xdr:col>
      <xdr:colOff>292470</xdr:colOff>
      <xdr:row>15</xdr:row>
      <xdr:rowOff>149325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74BBC1-90E0-43A4-8337-8C1D64754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53475" y="2428875"/>
          <a:ext cx="2514600" cy="723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292100</xdr:colOff>
      <xdr:row>12</xdr:row>
      <xdr:rowOff>25400</xdr:rowOff>
    </xdr:from>
    <xdr:to>
      <xdr:col>13</xdr:col>
      <xdr:colOff>292470</xdr:colOff>
      <xdr:row>15</xdr:row>
      <xdr:rowOff>149325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386BB7-E20F-42E6-8090-C0E1FE510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53475" y="2428875"/>
          <a:ext cx="2514600" cy="723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38052-64A0-4C11-8A3A-013103562FAA}">
  <sheetPr>
    <outlinePr summaryBelow="0" summaryRight="0"/>
  </sheetPr>
  <dimension ref="A1:XFD1048575"/>
  <sheetViews>
    <sheetView tabSelected="1" zoomScale="62" zoomScaleNormal="62" workbookViewId="0">
      <selection activeCell="I259" sqref="I259"/>
    </sheetView>
  </sheetViews>
  <sheetFormatPr defaultColWidth="12.54296875" defaultRowHeight="15.75" customHeight="1" x14ac:dyDescent="0.3"/>
  <cols>
    <col min="1" max="6" width="12.54296875" style="1" customWidth="1"/>
    <col min="7" max="7" width="13.7265625" style="1" customWidth="1"/>
    <col min="8" max="14" width="12.54296875" style="1" customWidth="1"/>
    <col min="15" max="15" width="13.7265625" style="1" bestFit="1" customWidth="1"/>
    <col min="16" max="16" width="13.54296875" style="1" customWidth="1"/>
    <col min="17" max="17" width="14.7265625" style="1" customWidth="1"/>
    <col min="18" max="18" width="12.54296875" style="1" customWidth="1"/>
    <col min="19" max="16384" width="12.54296875" style="1"/>
  </cols>
  <sheetData>
    <row r="1" spans="1:19" ht="15.75" customHeight="1" x14ac:dyDescent="0.3">
      <c r="A1" s="6"/>
      <c r="B1" s="6"/>
      <c r="C1" s="6" t="s">
        <v>22</v>
      </c>
      <c r="D1" s="6"/>
      <c r="E1" s="6"/>
      <c r="F1" s="6"/>
      <c r="H1" s="6"/>
      <c r="I1" s="20" t="s">
        <v>23</v>
      </c>
      <c r="J1" s="21"/>
      <c r="K1" s="6"/>
    </row>
    <row r="2" spans="1:19" ht="15.75" customHeight="1" x14ac:dyDescent="0.3">
      <c r="A2" s="7"/>
      <c r="B2" s="8" t="s">
        <v>24</v>
      </c>
      <c r="C2" s="8" t="s">
        <v>25</v>
      </c>
      <c r="H2" s="8" t="s">
        <v>26</v>
      </c>
      <c r="I2" s="8" t="s">
        <v>27</v>
      </c>
    </row>
    <row r="3" spans="1:19" ht="15.75" customHeight="1" x14ac:dyDescent="0.35">
      <c r="A3" s="9" t="s">
        <v>0</v>
      </c>
      <c r="B3" s="9" t="s">
        <v>28</v>
      </c>
      <c r="C3" s="9" t="s">
        <v>28</v>
      </c>
      <c r="H3" s="7" t="s">
        <v>29</v>
      </c>
      <c r="I3" s="7" t="s">
        <v>29</v>
      </c>
    </row>
    <row r="4" spans="1:19" ht="15.75" customHeight="1" x14ac:dyDescent="0.35">
      <c r="A4" s="10" t="s">
        <v>30</v>
      </c>
      <c r="B4" s="10">
        <v>517.70000000000005</v>
      </c>
      <c r="C4" s="10">
        <v>131.94999999999999</v>
      </c>
      <c r="D4" s="10"/>
      <c r="M4" s="7" t="s">
        <v>31</v>
      </c>
      <c r="N4" s="7" t="s">
        <v>32</v>
      </c>
      <c r="P4" s="7" t="s">
        <v>33</v>
      </c>
    </row>
    <row r="5" spans="1:19" ht="15.75" customHeight="1" x14ac:dyDescent="0.35">
      <c r="A5" s="10" t="s">
        <v>34</v>
      </c>
      <c r="B5" s="10">
        <v>509.5</v>
      </c>
      <c r="C5" s="10">
        <v>133.91</v>
      </c>
      <c r="D5" s="10"/>
      <c r="H5" s="7">
        <f t="shared" ref="H5:H250" si="0">LN(B5/B4)</f>
        <v>-1.5966071245076225E-2</v>
      </c>
      <c r="I5" s="7">
        <f t="shared" ref="I5:I68" si="1">LN(C5/C4)</f>
        <v>1.4744869558141784E-2</v>
      </c>
      <c r="M5" s="7">
        <v>2.0780948493313023E-2</v>
      </c>
      <c r="N5" s="7">
        <v>0.5</v>
      </c>
      <c r="P5" s="7">
        <f t="shared" ref="P5:P6" si="2">N5*M5</f>
        <v>1.0390474246656511E-2</v>
      </c>
    </row>
    <row r="6" spans="1:19" ht="15.75" customHeight="1" x14ac:dyDescent="0.35">
      <c r="A6" s="10" t="s">
        <v>35</v>
      </c>
      <c r="B6" s="10">
        <v>511.8</v>
      </c>
      <c r="C6" s="10">
        <v>132.66</v>
      </c>
      <c r="D6" s="10"/>
      <c r="H6" s="7">
        <f t="shared" si="0"/>
        <v>4.5040710629089689E-3</v>
      </c>
      <c r="I6" s="7">
        <f t="shared" si="1"/>
        <v>-9.3784684100648545E-3</v>
      </c>
      <c r="M6" s="7">
        <v>-0.18865732670001556</v>
      </c>
      <c r="N6" s="7">
        <v>0.5</v>
      </c>
      <c r="P6" s="7">
        <f t="shared" si="2"/>
        <v>-9.432866335000778E-2</v>
      </c>
    </row>
    <row r="7" spans="1:19" ht="15.75" customHeight="1" x14ac:dyDescent="0.35">
      <c r="A7" s="10" t="s">
        <v>36</v>
      </c>
      <c r="B7" s="10">
        <v>509.3</v>
      </c>
      <c r="C7" s="10">
        <v>131.42500000000001</v>
      </c>
      <c r="D7" s="10"/>
      <c r="H7" s="7">
        <f t="shared" si="0"/>
        <v>-4.896689835129516E-3</v>
      </c>
      <c r="I7" s="7">
        <f t="shared" si="1"/>
        <v>-9.3531173918981105E-3</v>
      </c>
      <c r="N7" s="7">
        <v>1</v>
      </c>
    </row>
    <row r="8" spans="1:19" ht="15.75" customHeight="1" x14ac:dyDescent="0.35">
      <c r="A8" s="10" t="s">
        <v>37</v>
      </c>
      <c r="B8" s="10">
        <v>516.29999999999995</v>
      </c>
      <c r="C8" s="10">
        <v>130.215</v>
      </c>
      <c r="D8" s="10"/>
      <c r="H8" s="7">
        <f t="shared" si="0"/>
        <v>1.3650757995044333E-2</v>
      </c>
      <c r="I8" s="7">
        <f t="shared" si="1"/>
        <v>-9.2494161936307849E-3</v>
      </c>
    </row>
    <row r="9" spans="1:19" ht="15.75" customHeight="1" x14ac:dyDescent="0.35">
      <c r="A9" s="10" t="s">
        <v>38</v>
      </c>
      <c r="B9" s="10">
        <v>500.6</v>
      </c>
      <c r="C9" s="10">
        <v>127.755</v>
      </c>
      <c r="D9" s="10"/>
      <c r="H9" s="7">
        <f t="shared" si="0"/>
        <v>-3.0880612887929412E-2</v>
      </c>
      <c r="I9" s="7">
        <f t="shared" si="1"/>
        <v>-1.9072563250727155E-2</v>
      </c>
      <c r="O9" s="7" t="s">
        <v>39</v>
      </c>
      <c r="P9" s="7">
        <f>SUM(P5:P6)</f>
        <v>-8.3938189103351268E-2</v>
      </c>
    </row>
    <row r="10" spans="1:19" ht="15.75" customHeight="1" x14ac:dyDescent="0.35">
      <c r="A10" s="10" t="s">
        <v>40</v>
      </c>
      <c r="B10" s="10">
        <v>494.75</v>
      </c>
      <c r="C10" s="10">
        <v>122.035</v>
      </c>
      <c r="D10" s="10"/>
      <c r="H10" s="7">
        <f t="shared" si="0"/>
        <v>-1.17547945149988E-2</v>
      </c>
      <c r="I10" s="7">
        <f t="shared" si="1"/>
        <v>-4.5806478425698981E-2</v>
      </c>
    </row>
    <row r="11" spans="1:19" ht="15.75" customHeight="1" x14ac:dyDescent="0.35">
      <c r="A11" s="10" t="s">
        <v>41</v>
      </c>
      <c r="B11" s="10">
        <v>505.5</v>
      </c>
      <c r="C11" s="10">
        <v>123.36</v>
      </c>
      <c r="D11" s="10"/>
      <c r="H11" s="7">
        <f t="shared" si="0"/>
        <v>2.1495453977851006E-2</v>
      </c>
      <c r="I11" s="7">
        <f t="shared" si="1"/>
        <v>1.0799020979564486E-2</v>
      </c>
      <c r="O11" s="7" t="s">
        <v>42</v>
      </c>
      <c r="P11" s="7">
        <v>7.0000000000000007E-2</v>
      </c>
    </row>
    <row r="12" spans="1:19" ht="15.75" customHeight="1" x14ac:dyDescent="0.35">
      <c r="A12" s="10" t="s">
        <v>43</v>
      </c>
      <c r="B12" s="10">
        <v>497.25</v>
      </c>
      <c r="C12" s="10">
        <v>124.67</v>
      </c>
      <c r="D12" s="10"/>
      <c r="H12" s="7">
        <f t="shared" si="0"/>
        <v>-1.6455120726444478E-2</v>
      </c>
      <c r="I12" s="7">
        <f t="shared" si="1"/>
        <v>1.0563336541864192E-2</v>
      </c>
    </row>
    <row r="13" spans="1:19" ht="15.75" customHeight="1" x14ac:dyDescent="0.35">
      <c r="A13" s="10" t="s">
        <v>44</v>
      </c>
      <c r="B13" s="10">
        <v>507.5</v>
      </c>
      <c r="C13" s="10">
        <v>126.08499999999999</v>
      </c>
      <c r="D13" s="10"/>
      <c r="H13" s="7">
        <f t="shared" si="0"/>
        <v>2.0403793181860745E-2</v>
      </c>
      <c r="I13" s="7">
        <f t="shared" si="1"/>
        <v>1.1286036326759067E-2</v>
      </c>
      <c r="O13" s="1" t="s">
        <v>45</v>
      </c>
      <c r="P13" s="1">
        <f t="array" ref="P13">MMULT(TRANSPOSE(N5:N6),MMULT(P17:Q18,N5:N6))</f>
        <v>2.5792207151104627E-4</v>
      </c>
    </row>
    <row r="14" spans="1:19" ht="15.75" customHeight="1" x14ac:dyDescent="0.35">
      <c r="A14" s="10" t="s">
        <v>46</v>
      </c>
      <c r="B14" s="10">
        <v>496.3</v>
      </c>
      <c r="C14" s="10">
        <v>127.105</v>
      </c>
      <c r="D14" s="10"/>
      <c r="H14" s="7">
        <f t="shared" si="0"/>
        <v>-2.2316128322547254E-2</v>
      </c>
      <c r="I14" s="7">
        <f t="shared" si="1"/>
        <v>8.0572338410720232E-3</v>
      </c>
      <c r="O14" s="1" t="s">
        <v>13</v>
      </c>
      <c r="P14" s="1">
        <f>SQRT(P13)</f>
        <v>1.6059952413100303E-2</v>
      </c>
    </row>
    <row r="15" spans="1:19" ht="15.75" customHeight="1" thickBot="1" x14ac:dyDescent="0.4">
      <c r="A15" s="11">
        <v>44597</v>
      </c>
      <c r="B15" s="10">
        <v>491</v>
      </c>
      <c r="C15" s="10">
        <v>129.52000000000001</v>
      </c>
      <c r="D15" s="10"/>
      <c r="H15" s="7">
        <f t="shared" si="0"/>
        <v>-1.0736454798874509E-2</v>
      </c>
      <c r="I15" s="7">
        <f t="shared" si="1"/>
        <v>1.8821792844665095E-2</v>
      </c>
      <c r="O15" s="1" t="s">
        <v>14</v>
      </c>
      <c r="P15" s="1">
        <f>SQRT(252)*P14</f>
        <v>0.25494384091557037</v>
      </c>
    </row>
    <row r="16" spans="1:19" ht="15.75" customHeight="1" x14ac:dyDescent="0.35">
      <c r="A16" s="11">
        <v>44656</v>
      </c>
      <c r="B16" s="10">
        <v>479.65</v>
      </c>
      <c r="C16" s="10">
        <v>126.13500000000001</v>
      </c>
      <c r="D16" s="10"/>
      <c r="H16" s="7">
        <f t="shared" si="0"/>
        <v>-2.3387456530564055E-2</v>
      </c>
      <c r="I16" s="7">
        <f t="shared" si="1"/>
        <v>-2.648254741640876E-2</v>
      </c>
      <c r="O16" s="12"/>
      <c r="P16" s="12" t="s">
        <v>26</v>
      </c>
      <c r="Q16" s="12" t="s">
        <v>47</v>
      </c>
      <c r="R16" s="13"/>
      <c r="S16" s="13"/>
    </row>
    <row r="17" spans="1:17" ht="15.75" customHeight="1" thickBot="1" x14ac:dyDescent="0.4">
      <c r="A17" s="11">
        <v>44686</v>
      </c>
      <c r="B17" s="10">
        <v>480</v>
      </c>
      <c r="C17" s="10">
        <v>128.42500000000001</v>
      </c>
      <c r="D17" s="10"/>
      <c r="H17" s="7">
        <f t="shared" si="0"/>
        <v>7.2943263797999231E-4</v>
      </c>
      <c r="I17" s="7">
        <f t="shared" si="1"/>
        <v>1.7992314400360525E-2</v>
      </c>
      <c r="O17" s="1" t="s">
        <v>26</v>
      </c>
      <c r="P17" s="1">
        <f>VARP('Equal Weights Portfolio'!$H$5:$H$250)</f>
        <v>2.4729240641825786E-4</v>
      </c>
      <c r="Q17" s="14">
        <v>1.3557285545883504E-4</v>
      </c>
    </row>
    <row r="18" spans="1:17" ht="15.75" customHeight="1" thickBot="1" x14ac:dyDescent="0.4">
      <c r="A18" s="11">
        <v>44717</v>
      </c>
      <c r="B18" s="10">
        <v>483.95</v>
      </c>
      <c r="C18" s="10">
        <v>128.37</v>
      </c>
      <c r="D18" s="10"/>
      <c r="H18" s="7">
        <f t="shared" si="0"/>
        <v>8.1954916931610469E-3</v>
      </c>
      <c r="I18" s="7">
        <f t="shared" si="1"/>
        <v>-4.2835725649639572E-4</v>
      </c>
      <c r="O18" s="1" t="s">
        <v>27</v>
      </c>
      <c r="P18" s="14">
        <v>1.3557285545883504E-4</v>
      </c>
      <c r="Q18" s="14">
        <f>VARP('Equal Weights Portfolio'!$I$5:$I$250)</f>
        <v>5.1325016870825703E-4</v>
      </c>
    </row>
    <row r="19" spans="1:17" ht="15.75" customHeight="1" x14ac:dyDescent="0.35">
      <c r="A19" s="11">
        <v>44809</v>
      </c>
      <c r="B19" s="10">
        <v>475.9</v>
      </c>
      <c r="C19" s="10">
        <v>125.22499999999999</v>
      </c>
      <c r="D19" s="10"/>
      <c r="H19" s="7">
        <f t="shared" si="0"/>
        <v>-1.6773847468032881E-2</v>
      </c>
      <c r="I19" s="7">
        <f t="shared" si="1"/>
        <v>-2.4804599853154724E-2</v>
      </c>
    </row>
    <row r="20" spans="1:17" ht="15.75" customHeight="1" x14ac:dyDescent="0.35">
      <c r="A20" s="11">
        <v>44839</v>
      </c>
      <c r="B20" s="10">
        <v>475.2</v>
      </c>
      <c r="C20" s="10">
        <v>116.49</v>
      </c>
      <c r="D20" s="10"/>
      <c r="H20" s="7">
        <f t="shared" si="0"/>
        <v>-1.4719800786295941E-3</v>
      </c>
      <c r="I20" s="7">
        <f t="shared" si="1"/>
        <v>-7.2306686831994843E-2</v>
      </c>
      <c r="O20" s="1" t="s">
        <v>48</v>
      </c>
      <c r="P20" s="1">
        <f>(P9-P11)/P15</f>
        <v>-0.60381215153313272</v>
      </c>
    </row>
    <row r="21" spans="1:17" ht="15.75" customHeight="1" x14ac:dyDescent="0.35">
      <c r="A21" s="11">
        <v>44870</v>
      </c>
      <c r="B21" s="10">
        <v>476.55</v>
      </c>
      <c r="C21" s="10">
        <v>116.57</v>
      </c>
      <c r="D21" s="10"/>
      <c r="H21" s="7">
        <f t="shared" si="0"/>
        <v>2.8368813351997567E-3</v>
      </c>
      <c r="I21" s="7">
        <f t="shared" si="1"/>
        <v>6.8651852005524486E-4</v>
      </c>
    </row>
    <row r="22" spans="1:17" ht="15.75" customHeight="1" x14ac:dyDescent="0.35">
      <c r="A22" s="11">
        <v>44900</v>
      </c>
      <c r="B22" s="10">
        <v>462.65</v>
      </c>
      <c r="C22" s="10">
        <v>111.77</v>
      </c>
      <c r="D22" s="10"/>
      <c r="H22" s="7">
        <f t="shared" si="0"/>
        <v>-2.9601820688595706E-2</v>
      </c>
      <c r="I22" s="7">
        <f t="shared" si="1"/>
        <v>-4.2048762534220879E-2</v>
      </c>
      <c r="O22" s="15"/>
      <c r="P22" s="15"/>
      <c r="Q22" s="15"/>
    </row>
    <row r="23" spans="1:17" ht="15.75" customHeight="1" x14ac:dyDescent="0.35">
      <c r="A23" s="10" t="s">
        <v>49</v>
      </c>
      <c r="B23" s="10">
        <v>444.65</v>
      </c>
      <c r="C23" s="10">
        <v>109.7</v>
      </c>
      <c r="D23" s="10"/>
      <c r="H23" s="7">
        <f t="shared" si="0"/>
        <v>-3.9683372849390143E-2</v>
      </c>
      <c r="I23" s="7">
        <f t="shared" si="1"/>
        <v>-1.8693821116335475E-2</v>
      </c>
    </row>
    <row r="24" spans="1:17" ht="15.75" customHeight="1" x14ac:dyDescent="0.35">
      <c r="A24" s="10" t="s">
        <v>50</v>
      </c>
      <c r="B24" s="10">
        <v>455</v>
      </c>
      <c r="C24" s="10">
        <v>110.35</v>
      </c>
      <c r="D24" s="10"/>
      <c r="H24" s="7">
        <f t="shared" si="0"/>
        <v>2.3009963105301463E-2</v>
      </c>
      <c r="I24" s="7">
        <f t="shared" si="1"/>
        <v>5.9077654215607331E-3</v>
      </c>
    </row>
    <row r="25" spans="1:17" ht="15.75" customHeight="1" x14ac:dyDescent="0.35">
      <c r="A25" s="10" t="s">
        <v>51</v>
      </c>
      <c r="B25" s="10">
        <v>467.3</v>
      </c>
      <c r="C25" s="10">
        <v>118.87</v>
      </c>
      <c r="D25" s="10"/>
      <c r="H25" s="7">
        <f t="shared" si="0"/>
        <v>2.6674030755430022E-2</v>
      </c>
      <c r="I25" s="7">
        <f t="shared" si="1"/>
        <v>7.4373326289787656E-2</v>
      </c>
    </row>
    <row r="26" spans="1:17" ht="15.75" customHeight="1" x14ac:dyDescent="0.35">
      <c r="A26" s="10" t="s">
        <v>52</v>
      </c>
      <c r="B26" s="10">
        <v>458</v>
      </c>
      <c r="C26" s="10">
        <v>118.02500000000001</v>
      </c>
      <c r="D26" s="10"/>
      <c r="H26" s="7">
        <f t="shared" si="0"/>
        <v>-2.0102265592195499E-2</v>
      </c>
      <c r="I26" s="7">
        <f t="shared" si="1"/>
        <v>-7.1339925601825527E-3</v>
      </c>
    </row>
    <row r="27" spans="1:17" ht="15.75" customHeight="1" x14ac:dyDescent="0.35">
      <c r="A27" s="10" t="s">
        <v>53</v>
      </c>
      <c r="B27" s="10">
        <v>447.5</v>
      </c>
      <c r="C27" s="10">
        <v>112.215</v>
      </c>
      <c r="D27" s="10"/>
      <c r="H27" s="7">
        <f t="shared" si="0"/>
        <v>-2.3192646399274923E-2</v>
      </c>
      <c r="I27" s="7">
        <f t="shared" si="1"/>
        <v>-5.047979243987253E-2</v>
      </c>
    </row>
    <row r="28" spans="1:17" ht="15.75" customHeight="1" x14ac:dyDescent="0.35">
      <c r="A28" s="10" t="s">
        <v>54</v>
      </c>
      <c r="B28" s="10">
        <v>462.4</v>
      </c>
      <c r="C28" s="10">
        <v>117.06</v>
      </c>
      <c r="D28" s="10"/>
      <c r="H28" s="7">
        <f t="shared" si="0"/>
        <v>3.275377964325759E-2</v>
      </c>
      <c r="I28" s="7">
        <f t="shared" si="1"/>
        <v>4.2269949870596964E-2</v>
      </c>
    </row>
    <row r="29" spans="1:17" ht="15.75" customHeight="1" x14ac:dyDescent="0.35">
      <c r="A29" s="10" t="s">
        <v>55</v>
      </c>
      <c r="B29" s="10">
        <v>460.9</v>
      </c>
      <c r="C29" s="10">
        <v>102.295</v>
      </c>
      <c r="D29" s="10"/>
      <c r="H29" s="7">
        <f t="shared" si="0"/>
        <v>-3.2492176317051313E-3</v>
      </c>
      <c r="I29" s="7">
        <f t="shared" si="1"/>
        <v>-0.13482582795528503</v>
      </c>
    </row>
    <row r="30" spans="1:17" ht="15.75" customHeight="1" x14ac:dyDescent="0.35">
      <c r="A30" s="10" t="s">
        <v>56</v>
      </c>
      <c r="B30" s="10">
        <v>462.05</v>
      </c>
      <c r="C30" s="10">
        <v>100.63500000000001</v>
      </c>
      <c r="D30" s="10"/>
      <c r="H30" s="7">
        <f t="shared" si="0"/>
        <v>2.4920106075870204E-3</v>
      </c>
      <c r="I30" s="7">
        <f t="shared" si="1"/>
        <v>-1.6360686224828679E-2</v>
      </c>
    </row>
    <row r="31" spans="1:17" ht="15.75" customHeight="1" x14ac:dyDescent="0.35">
      <c r="A31" s="10" t="s">
        <v>57</v>
      </c>
      <c r="B31" s="10">
        <v>454.1</v>
      </c>
      <c r="C31" s="10">
        <v>99.91</v>
      </c>
      <c r="D31" s="10"/>
      <c r="H31" s="7">
        <f t="shared" si="0"/>
        <v>-1.7355672230143952E-2</v>
      </c>
      <c r="I31" s="7">
        <f t="shared" si="1"/>
        <v>-7.2303289380338757E-3</v>
      </c>
    </row>
    <row r="32" spans="1:17" ht="15.75" customHeight="1" x14ac:dyDescent="0.35">
      <c r="A32" s="10" t="s">
        <v>58</v>
      </c>
      <c r="B32" s="10">
        <v>468.9</v>
      </c>
      <c r="C32" s="10">
        <v>105.2</v>
      </c>
      <c r="D32" s="10"/>
      <c r="H32" s="7">
        <f t="shared" si="0"/>
        <v>3.2072087991634975E-2</v>
      </c>
      <c r="I32" s="7">
        <f t="shared" si="1"/>
        <v>5.1593519558682369E-2</v>
      </c>
    </row>
    <row r="33" spans="1:9" ht="14.5" x14ac:dyDescent="0.35">
      <c r="A33" s="10" t="s">
        <v>59</v>
      </c>
      <c r="B33" s="10">
        <v>468.95</v>
      </c>
      <c r="C33" s="10">
        <v>104.35</v>
      </c>
      <c r="D33" s="10"/>
      <c r="H33" s="7">
        <f t="shared" si="0"/>
        <v>1.0662685940684772E-4</v>
      </c>
      <c r="I33" s="7">
        <f t="shared" si="1"/>
        <v>-8.112666780399758E-3</v>
      </c>
    </row>
    <row r="34" spans="1:9" ht="14.5" x14ac:dyDescent="0.35">
      <c r="A34" s="10" t="s">
        <v>60</v>
      </c>
      <c r="B34" s="10">
        <v>474.6</v>
      </c>
      <c r="C34" s="10">
        <v>104.745</v>
      </c>
      <c r="D34" s="10"/>
      <c r="H34" s="7">
        <f t="shared" si="0"/>
        <v>1.197619104671584E-2</v>
      </c>
      <c r="I34" s="7">
        <f t="shared" si="1"/>
        <v>3.7781914428985852E-3</v>
      </c>
    </row>
    <row r="35" spans="1:9" ht="14.5" x14ac:dyDescent="0.35">
      <c r="A35" s="10" t="s">
        <v>61</v>
      </c>
      <c r="B35" s="10">
        <v>468.1</v>
      </c>
      <c r="C35" s="10">
        <v>105.565</v>
      </c>
      <c r="D35" s="10"/>
      <c r="H35" s="7">
        <f t="shared" si="0"/>
        <v>-1.3790395695638263E-2</v>
      </c>
      <c r="I35" s="7">
        <f t="shared" si="1"/>
        <v>7.7980519739379479E-3</v>
      </c>
    </row>
    <row r="36" spans="1:9" ht="14.5" x14ac:dyDescent="0.35">
      <c r="A36" s="11">
        <v>44567</v>
      </c>
      <c r="B36" s="10">
        <v>468.3</v>
      </c>
      <c r="C36" s="10">
        <v>106.355</v>
      </c>
      <c r="D36" s="10"/>
      <c r="H36" s="7">
        <f t="shared" si="0"/>
        <v>4.2716788347116829E-4</v>
      </c>
      <c r="I36" s="7">
        <f t="shared" si="1"/>
        <v>7.4556781755676415E-3</v>
      </c>
    </row>
    <row r="37" spans="1:9" ht="14.5" x14ac:dyDescent="0.35">
      <c r="A37" s="11">
        <v>44598</v>
      </c>
      <c r="B37" s="10">
        <v>469.85</v>
      </c>
      <c r="C37" s="10">
        <v>108.155</v>
      </c>
      <c r="D37" s="10"/>
      <c r="H37" s="7">
        <f t="shared" si="0"/>
        <v>3.3043786395778657E-3</v>
      </c>
      <c r="I37" s="7">
        <f t="shared" si="1"/>
        <v>1.6782828299850939E-2</v>
      </c>
    </row>
    <row r="38" spans="1:9" ht="14.5" x14ac:dyDescent="0.35">
      <c r="A38" s="11">
        <v>44626</v>
      </c>
      <c r="B38" s="10">
        <v>464.5</v>
      </c>
      <c r="C38" s="10">
        <v>106.73</v>
      </c>
      <c r="D38" s="10"/>
      <c r="H38" s="7">
        <f t="shared" si="0"/>
        <v>-1.1451936575180812E-2</v>
      </c>
      <c r="I38" s="7">
        <f t="shared" si="1"/>
        <v>-1.3263102489591254E-2</v>
      </c>
    </row>
    <row r="39" spans="1:9" ht="14.5" x14ac:dyDescent="0.35">
      <c r="A39" s="11">
        <v>44718</v>
      </c>
      <c r="B39" s="10">
        <v>463.7</v>
      </c>
      <c r="C39" s="10">
        <v>107.81</v>
      </c>
      <c r="D39" s="10"/>
      <c r="H39" s="7">
        <f t="shared" si="0"/>
        <v>-1.7237668564780938E-3</v>
      </c>
      <c r="I39" s="7">
        <f t="shared" si="1"/>
        <v>1.0068137625152842E-2</v>
      </c>
    </row>
    <row r="40" spans="1:9" ht="14.5" x14ac:dyDescent="0.35">
      <c r="A40" s="11">
        <v>44748</v>
      </c>
      <c r="B40" s="10">
        <v>463.4</v>
      </c>
      <c r="C40" s="10">
        <v>106.85</v>
      </c>
      <c r="D40" s="10"/>
      <c r="H40" s="7">
        <f t="shared" si="0"/>
        <v>-6.4717939913935135E-4</v>
      </c>
      <c r="I40" s="7">
        <f t="shared" si="1"/>
        <v>-8.9444367858700097E-3</v>
      </c>
    </row>
    <row r="41" spans="1:9" ht="14.5" x14ac:dyDescent="0.35">
      <c r="A41" s="11">
        <v>44779</v>
      </c>
      <c r="B41" s="10">
        <v>471.3</v>
      </c>
      <c r="C41" s="10">
        <v>108.675</v>
      </c>
      <c r="D41" s="10"/>
      <c r="H41" s="7">
        <f t="shared" si="0"/>
        <v>1.6904221931409311E-2</v>
      </c>
      <c r="I41" s="7">
        <f t="shared" si="1"/>
        <v>1.6935795109699232E-2</v>
      </c>
    </row>
    <row r="42" spans="1:9" ht="14.5" x14ac:dyDescent="0.35">
      <c r="A42" s="11">
        <v>44810</v>
      </c>
      <c r="B42" s="10">
        <v>466.95</v>
      </c>
      <c r="C42" s="10">
        <v>104.485</v>
      </c>
      <c r="D42" s="10"/>
      <c r="H42" s="7">
        <f t="shared" si="0"/>
        <v>-9.2726483739583795E-3</v>
      </c>
      <c r="I42" s="7">
        <f t="shared" si="1"/>
        <v>-3.9318256442794436E-2</v>
      </c>
    </row>
    <row r="43" spans="1:9" ht="14.5" x14ac:dyDescent="0.35">
      <c r="A43" s="11">
        <v>44840</v>
      </c>
      <c r="B43" s="10">
        <v>461.85</v>
      </c>
      <c r="C43" s="10">
        <v>102.37</v>
      </c>
      <c r="D43" s="10"/>
      <c r="H43" s="7">
        <f t="shared" si="0"/>
        <v>-1.098202251710767E-2</v>
      </c>
      <c r="I43" s="7">
        <f t="shared" si="1"/>
        <v>-2.0449819500381834E-2</v>
      </c>
    </row>
    <row r="44" spans="1:9" ht="14.5" x14ac:dyDescent="0.35">
      <c r="A44" s="10" t="s">
        <v>62</v>
      </c>
      <c r="B44" s="10">
        <v>445.85</v>
      </c>
      <c r="C44" s="10">
        <v>99.194999999999993</v>
      </c>
      <c r="D44" s="10"/>
      <c r="H44" s="7">
        <f t="shared" si="0"/>
        <v>-3.5257590457730616E-2</v>
      </c>
      <c r="I44" s="7">
        <f t="shared" si="1"/>
        <v>-3.1506091136944178E-2</v>
      </c>
    </row>
    <row r="45" spans="1:9" ht="14.5" x14ac:dyDescent="0.35">
      <c r="A45" s="10" t="s">
        <v>63</v>
      </c>
      <c r="B45" s="10">
        <v>448.1</v>
      </c>
      <c r="C45" s="10">
        <v>99.614999999999995</v>
      </c>
      <c r="D45" s="10"/>
      <c r="H45" s="7">
        <f t="shared" si="0"/>
        <v>5.0338492112088837E-3</v>
      </c>
      <c r="I45" s="7">
        <f t="shared" si="1"/>
        <v>4.2251458660513049E-3</v>
      </c>
    </row>
    <row r="46" spans="1:9" ht="14.5" x14ac:dyDescent="0.35">
      <c r="A46" s="10" t="s">
        <v>64</v>
      </c>
      <c r="B46" s="10">
        <v>451.35</v>
      </c>
      <c r="C46" s="10">
        <v>95.954999999999998</v>
      </c>
      <c r="D46" s="10"/>
      <c r="H46" s="7">
        <f t="shared" si="0"/>
        <v>7.2266699520666874E-3</v>
      </c>
      <c r="I46" s="7">
        <f t="shared" si="1"/>
        <v>-3.7433424090576074E-2</v>
      </c>
    </row>
    <row r="47" spans="1:9" ht="14.5" x14ac:dyDescent="0.35">
      <c r="A47" s="10" t="s">
        <v>65</v>
      </c>
      <c r="B47" s="10">
        <v>441.6</v>
      </c>
      <c r="C47" s="10">
        <v>90.17</v>
      </c>
      <c r="D47" s="10"/>
      <c r="H47" s="7">
        <f t="shared" si="0"/>
        <v>-2.1838596781278388E-2</v>
      </c>
      <c r="I47" s="7">
        <f t="shared" si="1"/>
        <v>-6.2182554058395255E-2</v>
      </c>
    </row>
    <row r="48" spans="1:9" ht="14.5" x14ac:dyDescent="0.35">
      <c r="A48" s="10" t="s">
        <v>66</v>
      </c>
      <c r="B48" s="10">
        <v>441</v>
      </c>
      <c r="C48" s="10">
        <v>90.67</v>
      </c>
      <c r="D48" s="10"/>
      <c r="H48" s="7">
        <f t="shared" si="0"/>
        <v>-1.3596195160395954E-3</v>
      </c>
      <c r="I48" s="7">
        <f t="shared" si="1"/>
        <v>5.529764146149461E-3</v>
      </c>
    </row>
    <row r="49" spans="1:9" ht="14.5" x14ac:dyDescent="0.35">
      <c r="A49" s="10" t="s">
        <v>67</v>
      </c>
      <c r="B49" s="10">
        <v>434.7</v>
      </c>
      <c r="C49" s="10">
        <v>86.14</v>
      </c>
      <c r="D49" s="10"/>
      <c r="H49" s="7">
        <f t="shared" si="0"/>
        <v>-1.4388737452099669E-2</v>
      </c>
      <c r="I49" s="7">
        <f t="shared" si="1"/>
        <v>-5.1252662032000282E-2</v>
      </c>
    </row>
    <row r="50" spans="1:9" ht="14.5" x14ac:dyDescent="0.35">
      <c r="A50" s="10" t="s">
        <v>68</v>
      </c>
      <c r="B50" s="10">
        <v>450.75</v>
      </c>
      <c r="C50" s="10">
        <v>88.48</v>
      </c>
      <c r="D50" s="10"/>
      <c r="H50" s="7">
        <f t="shared" si="0"/>
        <v>3.6256724088680366E-2</v>
      </c>
      <c r="I50" s="7">
        <f t="shared" si="1"/>
        <v>2.6802658148060106E-2</v>
      </c>
    </row>
    <row r="51" spans="1:9" ht="14.5" x14ac:dyDescent="0.35">
      <c r="A51" s="10" t="s">
        <v>69</v>
      </c>
      <c r="B51" s="10">
        <v>447.65</v>
      </c>
      <c r="C51" s="10">
        <v>83.81</v>
      </c>
      <c r="D51" s="10"/>
      <c r="H51" s="7">
        <f t="shared" si="0"/>
        <v>-6.9011850032617335E-3</v>
      </c>
      <c r="I51" s="7">
        <f t="shared" si="1"/>
        <v>-5.422420566320988E-2</v>
      </c>
    </row>
    <row r="52" spans="1:9" ht="14.5" x14ac:dyDescent="0.35">
      <c r="A52" s="10" t="s">
        <v>70</v>
      </c>
      <c r="B52" s="10">
        <v>451.4</v>
      </c>
      <c r="C52" s="10">
        <v>84.13</v>
      </c>
      <c r="D52" s="10"/>
      <c r="H52" s="7">
        <f t="shared" si="0"/>
        <v>8.3421873032703143E-3</v>
      </c>
      <c r="I52" s="7">
        <f t="shared" si="1"/>
        <v>3.8108894519072781E-3</v>
      </c>
    </row>
    <row r="53" spans="1:9" ht="14.5" x14ac:dyDescent="0.35">
      <c r="A53" s="10" t="s">
        <v>71</v>
      </c>
      <c r="B53" s="10">
        <v>454.25</v>
      </c>
      <c r="C53" s="10">
        <v>85.284999999999997</v>
      </c>
      <c r="D53" s="10"/>
      <c r="H53" s="7">
        <f t="shared" si="0"/>
        <v>6.2938428928453844E-3</v>
      </c>
      <c r="I53" s="7">
        <f t="shared" si="1"/>
        <v>1.3635367530113986E-2</v>
      </c>
    </row>
    <row r="54" spans="1:9" ht="14.5" x14ac:dyDescent="0.35">
      <c r="A54" s="10" t="s">
        <v>72</v>
      </c>
      <c r="B54" s="10">
        <v>461.2</v>
      </c>
      <c r="C54" s="10">
        <v>86.784999999999997</v>
      </c>
      <c r="D54" s="10"/>
      <c r="H54" s="7">
        <f t="shared" si="0"/>
        <v>1.5184081118623466E-2</v>
      </c>
      <c r="I54" s="7">
        <f t="shared" si="1"/>
        <v>1.7435206580008633E-2</v>
      </c>
    </row>
    <row r="55" spans="1:9" ht="14.5" x14ac:dyDescent="0.35">
      <c r="A55" s="10" t="s">
        <v>73</v>
      </c>
      <c r="B55" s="10">
        <v>464.25</v>
      </c>
      <c r="C55" s="10">
        <v>87.89</v>
      </c>
      <c r="D55" s="10"/>
      <c r="H55" s="7">
        <f t="shared" si="0"/>
        <v>6.5914118379112397E-3</v>
      </c>
      <c r="I55" s="7">
        <f t="shared" si="1"/>
        <v>1.2652236903709022E-2</v>
      </c>
    </row>
    <row r="56" spans="1:9" ht="14.5" x14ac:dyDescent="0.35">
      <c r="A56" s="10" t="s">
        <v>74</v>
      </c>
      <c r="B56" s="10">
        <v>459.1</v>
      </c>
      <c r="C56" s="10">
        <v>88.16</v>
      </c>
      <c r="D56" s="10"/>
      <c r="H56" s="7">
        <f t="shared" si="0"/>
        <v>-1.1155148977638798E-2</v>
      </c>
      <c r="I56" s="7">
        <f t="shared" si="1"/>
        <v>3.0673128280505496E-3</v>
      </c>
    </row>
    <row r="57" spans="1:9" ht="14.5" x14ac:dyDescent="0.35">
      <c r="A57" s="10" t="s">
        <v>75</v>
      </c>
      <c r="B57" s="10">
        <v>465.9</v>
      </c>
      <c r="C57" s="10">
        <v>86.704999999999998</v>
      </c>
      <c r="D57" s="10"/>
      <c r="H57" s="7">
        <f t="shared" si="0"/>
        <v>1.4702967567574653E-2</v>
      </c>
      <c r="I57" s="7">
        <f t="shared" si="1"/>
        <v>-1.6641793154091682E-2</v>
      </c>
    </row>
    <row r="58" spans="1:9" ht="14.5" x14ac:dyDescent="0.35">
      <c r="A58" s="11">
        <v>44568</v>
      </c>
      <c r="B58" s="10">
        <v>466.85</v>
      </c>
      <c r="C58" s="10">
        <v>87.284999999999997</v>
      </c>
      <c r="D58" s="10"/>
      <c r="H58" s="7">
        <f t="shared" si="0"/>
        <v>2.036988107184003E-3</v>
      </c>
      <c r="I58" s="7">
        <f t="shared" si="1"/>
        <v>6.6670745262304076E-3</v>
      </c>
    </row>
    <row r="59" spans="1:9" ht="14.5" x14ac:dyDescent="0.35">
      <c r="A59" s="11">
        <v>44658</v>
      </c>
      <c r="B59" s="10">
        <v>473.45</v>
      </c>
      <c r="C59" s="10">
        <v>85.454999999999998</v>
      </c>
      <c r="D59" s="10"/>
      <c r="H59" s="7">
        <f t="shared" si="0"/>
        <v>1.4038303499574158E-2</v>
      </c>
      <c r="I59" s="7">
        <f t="shared" si="1"/>
        <v>-2.1188705176274386E-2</v>
      </c>
    </row>
    <row r="60" spans="1:9" ht="14.5" x14ac:dyDescent="0.35">
      <c r="A60" s="11">
        <v>44688</v>
      </c>
      <c r="B60" s="10">
        <v>472.15</v>
      </c>
      <c r="C60" s="10">
        <v>86.015000000000001</v>
      </c>
      <c r="D60" s="10"/>
      <c r="H60" s="7">
        <f t="shared" si="0"/>
        <v>-2.7495787204309379E-3</v>
      </c>
      <c r="I60" s="7">
        <f t="shared" si="1"/>
        <v>6.531778048533902E-3</v>
      </c>
    </row>
    <row r="61" spans="1:9" ht="14.5" x14ac:dyDescent="0.35">
      <c r="A61" s="11">
        <v>44719</v>
      </c>
      <c r="B61" s="10">
        <v>479.95</v>
      </c>
      <c r="C61" s="10">
        <v>85.814999999999998</v>
      </c>
      <c r="D61" s="10"/>
      <c r="H61" s="7">
        <f t="shared" si="0"/>
        <v>1.6385200100467755E-2</v>
      </c>
      <c r="I61" s="7">
        <f t="shared" si="1"/>
        <v>-2.3278832604007728E-3</v>
      </c>
    </row>
    <row r="62" spans="1:9" ht="14.5" x14ac:dyDescent="0.35">
      <c r="A62" s="11">
        <v>44749</v>
      </c>
      <c r="B62" s="10">
        <v>486.75</v>
      </c>
      <c r="C62" s="10">
        <v>90</v>
      </c>
      <c r="D62" s="10"/>
      <c r="H62" s="7">
        <f t="shared" si="0"/>
        <v>1.4068712442763054E-2</v>
      </c>
      <c r="I62" s="7">
        <f t="shared" si="1"/>
        <v>4.7615853941663296E-2</v>
      </c>
    </row>
    <row r="63" spans="1:9" ht="14.5" x14ac:dyDescent="0.35">
      <c r="A63" s="11">
        <v>44780</v>
      </c>
      <c r="B63" s="10">
        <v>488.55</v>
      </c>
      <c r="C63" s="10">
        <v>88.59</v>
      </c>
      <c r="D63" s="10"/>
      <c r="H63" s="7">
        <f t="shared" si="0"/>
        <v>3.6911761380431641E-3</v>
      </c>
      <c r="I63" s="7">
        <f t="shared" si="1"/>
        <v>-1.5790685906324015E-2</v>
      </c>
    </row>
    <row r="64" spans="1:9" ht="14.5" x14ac:dyDescent="0.35">
      <c r="A64" s="11">
        <v>44872</v>
      </c>
      <c r="B64" s="10">
        <v>488.2</v>
      </c>
      <c r="C64" s="10">
        <v>91.275000000000006</v>
      </c>
      <c r="D64" s="10"/>
      <c r="H64" s="7">
        <f t="shared" si="0"/>
        <v>-7.166624314925038E-4</v>
      </c>
      <c r="I64" s="7">
        <f t="shared" si="1"/>
        <v>2.9857943117759626E-2</v>
      </c>
    </row>
    <row r="65" spans="1:9" ht="14.5" x14ac:dyDescent="0.35">
      <c r="A65" s="11">
        <v>44902</v>
      </c>
      <c r="B65" s="10">
        <v>484.95</v>
      </c>
      <c r="C65" s="10">
        <v>90.21</v>
      </c>
      <c r="D65" s="10"/>
      <c r="H65" s="7">
        <f t="shared" si="0"/>
        <v>-6.6793651193079537E-3</v>
      </c>
      <c r="I65" s="7">
        <f t="shared" si="1"/>
        <v>-1.1736641873153257E-2</v>
      </c>
    </row>
    <row r="66" spans="1:9" ht="14.5" x14ac:dyDescent="0.35">
      <c r="A66" s="10" t="s">
        <v>76</v>
      </c>
      <c r="B66" s="10">
        <v>486.5</v>
      </c>
      <c r="C66" s="10">
        <v>90.484999999999999</v>
      </c>
      <c r="D66" s="10"/>
      <c r="H66" s="7">
        <f t="shared" si="0"/>
        <v>3.1911087865078877E-3</v>
      </c>
      <c r="I66" s="7">
        <f t="shared" si="1"/>
        <v>3.0438054436171189E-3</v>
      </c>
    </row>
    <row r="67" spans="1:9" ht="14.5" x14ac:dyDescent="0.35">
      <c r="A67" s="10" t="s">
        <v>77</v>
      </c>
      <c r="B67" s="10">
        <v>479.35</v>
      </c>
      <c r="C67" s="10">
        <v>90.8</v>
      </c>
      <c r="D67" s="10"/>
      <c r="H67" s="7">
        <f t="shared" si="0"/>
        <v>-1.4805882103054065E-2</v>
      </c>
      <c r="I67" s="7">
        <f t="shared" si="1"/>
        <v>3.4751944950832249E-3</v>
      </c>
    </row>
    <row r="68" spans="1:9" ht="14.5" x14ac:dyDescent="0.35">
      <c r="A68" s="10" t="s">
        <v>78</v>
      </c>
      <c r="B68" s="10">
        <v>479.1</v>
      </c>
      <c r="C68" s="10">
        <v>88.38</v>
      </c>
      <c r="D68" s="10"/>
      <c r="H68" s="7">
        <f t="shared" si="0"/>
        <v>-5.2167563392911806E-4</v>
      </c>
      <c r="I68" s="7">
        <f t="shared" si="1"/>
        <v>-2.7013585904653772E-2</v>
      </c>
    </row>
    <row r="69" spans="1:9" ht="14.5" x14ac:dyDescent="0.35">
      <c r="A69" s="10" t="s">
        <v>79</v>
      </c>
      <c r="B69" s="10">
        <v>490.3</v>
      </c>
      <c r="C69" s="10">
        <v>90.43</v>
      </c>
      <c r="D69" s="10"/>
      <c r="H69" s="7">
        <f t="shared" si="0"/>
        <v>2.3108104768111013E-2</v>
      </c>
      <c r="I69" s="7">
        <f t="shared" ref="I69:I132" si="3">LN(C69/C68)</f>
        <v>2.2930371049795058E-2</v>
      </c>
    </row>
    <row r="70" spans="1:9" ht="14.5" x14ac:dyDescent="0.35">
      <c r="A70" s="10" t="s">
        <v>80</v>
      </c>
      <c r="B70" s="10">
        <v>497.95</v>
      </c>
      <c r="C70" s="10">
        <v>91.944999999999993</v>
      </c>
      <c r="D70" s="10"/>
      <c r="H70" s="7">
        <f t="shared" si="0"/>
        <v>1.548222172046095E-2</v>
      </c>
      <c r="I70" s="7">
        <f t="shared" si="3"/>
        <v>1.661450144042757E-2</v>
      </c>
    </row>
    <row r="71" spans="1:9" ht="14.5" x14ac:dyDescent="0.35">
      <c r="A71" s="10" t="s">
        <v>81</v>
      </c>
      <c r="B71" s="10">
        <v>508.6</v>
      </c>
      <c r="C71" s="10">
        <v>92.844999999999999</v>
      </c>
      <c r="D71" s="10"/>
      <c r="H71" s="7">
        <f t="shared" si="0"/>
        <v>2.1162182610370815E-2</v>
      </c>
      <c r="I71" s="7">
        <f t="shared" si="3"/>
        <v>9.7408638597424688E-3</v>
      </c>
    </row>
    <row r="72" spans="1:9" ht="14.5" x14ac:dyDescent="0.35">
      <c r="A72" s="10" t="s">
        <v>82</v>
      </c>
      <c r="B72" s="10">
        <v>512.04999999999995</v>
      </c>
      <c r="C72" s="10">
        <v>93.43</v>
      </c>
      <c r="D72" s="10"/>
      <c r="H72" s="7">
        <f t="shared" si="0"/>
        <v>6.760423533427139E-3</v>
      </c>
      <c r="I72" s="7">
        <f t="shared" si="3"/>
        <v>6.281056752305429E-3</v>
      </c>
    </row>
    <row r="73" spans="1:9" ht="14.5" x14ac:dyDescent="0.35">
      <c r="A73" s="10" t="s">
        <v>83</v>
      </c>
      <c r="B73" s="10">
        <v>513.70000000000005</v>
      </c>
      <c r="C73" s="10">
        <v>93.605000000000004</v>
      </c>
      <c r="D73" s="10"/>
      <c r="H73" s="7">
        <f t="shared" si="0"/>
        <v>3.2171609517757638E-3</v>
      </c>
      <c r="I73" s="7">
        <f t="shared" si="3"/>
        <v>1.8713080553674581E-3</v>
      </c>
    </row>
    <row r="74" spans="1:9" ht="14.5" x14ac:dyDescent="0.35">
      <c r="A74" s="10" t="s">
        <v>84</v>
      </c>
      <c r="B74" s="10">
        <v>517.79999999999995</v>
      </c>
      <c r="C74" s="10">
        <v>96.07</v>
      </c>
      <c r="D74" s="10"/>
      <c r="H74" s="7">
        <f t="shared" si="0"/>
        <v>7.949629844214991E-3</v>
      </c>
      <c r="I74" s="7">
        <f t="shared" si="3"/>
        <v>2.5993291561415242E-2</v>
      </c>
    </row>
    <row r="75" spans="1:9" ht="14.5" x14ac:dyDescent="0.35">
      <c r="A75" s="10" t="s">
        <v>85</v>
      </c>
      <c r="B75" s="10">
        <v>514.20000000000005</v>
      </c>
      <c r="C75" s="10">
        <v>94.95</v>
      </c>
      <c r="D75" s="10"/>
      <c r="H75" s="7">
        <f t="shared" si="0"/>
        <v>-6.9767724856479802E-3</v>
      </c>
      <c r="I75" s="7">
        <f t="shared" si="3"/>
        <v>-1.1726655163352116E-2</v>
      </c>
    </row>
    <row r="76" spans="1:9" ht="14.5" x14ac:dyDescent="0.35">
      <c r="A76" s="10" t="s">
        <v>86</v>
      </c>
      <c r="B76" s="10">
        <v>528.20000000000005</v>
      </c>
      <c r="C76" s="10">
        <v>95.94</v>
      </c>
      <c r="D76" s="10"/>
      <c r="H76" s="7">
        <f t="shared" si="0"/>
        <v>2.6862705031242825E-2</v>
      </c>
      <c r="I76" s="7">
        <f t="shared" si="3"/>
        <v>1.0372558815622976E-2</v>
      </c>
    </row>
    <row r="77" spans="1:9" ht="14.5" x14ac:dyDescent="0.35">
      <c r="A77" s="10" t="s">
        <v>87</v>
      </c>
      <c r="B77" s="10">
        <v>532.45000000000005</v>
      </c>
      <c r="C77" s="10">
        <v>100.35</v>
      </c>
      <c r="D77" s="10"/>
      <c r="H77" s="7">
        <f t="shared" si="0"/>
        <v>8.0139965983610072E-3</v>
      </c>
      <c r="I77" s="7">
        <f t="shared" si="3"/>
        <v>4.4941079168429356E-2</v>
      </c>
    </row>
    <row r="78" spans="1:9" ht="14.5" x14ac:dyDescent="0.35">
      <c r="A78" s="10" t="s">
        <v>88</v>
      </c>
      <c r="B78" s="10">
        <v>528.35</v>
      </c>
      <c r="C78" s="10">
        <v>107.6</v>
      </c>
      <c r="D78" s="10"/>
      <c r="H78" s="7">
        <f t="shared" si="0"/>
        <v>-7.7300535743530571E-3</v>
      </c>
      <c r="I78" s="7">
        <f t="shared" si="3"/>
        <v>6.9756572485336898E-2</v>
      </c>
    </row>
    <row r="79" spans="1:9" ht="14.5" x14ac:dyDescent="0.35">
      <c r="A79" s="11">
        <v>44569</v>
      </c>
      <c r="B79" s="10">
        <v>533.75</v>
      </c>
      <c r="C79" s="10">
        <v>108.25</v>
      </c>
      <c r="D79" s="10"/>
      <c r="H79" s="7">
        <f t="shared" si="0"/>
        <v>1.0168621655794484E-2</v>
      </c>
      <c r="I79" s="7">
        <f t="shared" si="3"/>
        <v>6.0227191549152475E-3</v>
      </c>
    </row>
    <row r="80" spans="1:9" ht="14.5" x14ac:dyDescent="0.35">
      <c r="A80" s="11">
        <v>44600</v>
      </c>
      <c r="B80" s="10">
        <v>542.1</v>
      </c>
      <c r="C80" s="10">
        <v>107</v>
      </c>
      <c r="D80" s="10"/>
      <c r="H80" s="7">
        <f t="shared" si="0"/>
        <v>1.5522921723458243E-2</v>
      </c>
      <c r="I80" s="7">
        <f t="shared" si="3"/>
        <v>-1.1614532420693002E-2</v>
      </c>
    </row>
    <row r="81" spans="1:9" ht="14.5" x14ac:dyDescent="0.35">
      <c r="A81" s="11">
        <v>44628</v>
      </c>
      <c r="B81" s="10">
        <v>540.85</v>
      </c>
      <c r="C81" s="10">
        <v>107.05</v>
      </c>
      <c r="D81" s="10"/>
      <c r="H81" s="7">
        <f t="shared" si="0"/>
        <v>-2.3085101899939196E-3</v>
      </c>
      <c r="I81" s="7">
        <f t="shared" si="3"/>
        <v>4.6718057378552445E-4</v>
      </c>
    </row>
    <row r="82" spans="1:9" ht="14.5" x14ac:dyDescent="0.35">
      <c r="A82" s="11">
        <v>44659</v>
      </c>
      <c r="B82" s="10">
        <v>533.25</v>
      </c>
      <c r="C82" s="10">
        <v>107.7</v>
      </c>
      <c r="D82" s="10"/>
      <c r="H82" s="7">
        <f t="shared" si="0"/>
        <v>-1.4151618724838666E-2</v>
      </c>
      <c r="I82" s="7">
        <f t="shared" si="3"/>
        <v>6.0535691266511565E-3</v>
      </c>
    </row>
    <row r="83" spans="1:9" ht="14.5" x14ac:dyDescent="0.35">
      <c r="A83" s="11">
        <v>44689</v>
      </c>
      <c r="B83" s="10">
        <v>531.04999999999995</v>
      </c>
      <c r="C83" s="10">
        <v>107.35</v>
      </c>
      <c r="D83" s="10"/>
      <c r="H83" s="7">
        <f t="shared" si="0"/>
        <v>-4.1341785839114241E-3</v>
      </c>
      <c r="I83" s="7">
        <f t="shared" si="3"/>
        <v>-3.2550598375528702E-3</v>
      </c>
    </row>
    <row r="84" spans="1:9" ht="14.5" x14ac:dyDescent="0.35">
      <c r="A84" s="11">
        <v>44781</v>
      </c>
      <c r="B84" s="10">
        <v>520.4</v>
      </c>
      <c r="C84" s="10">
        <v>107.2</v>
      </c>
      <c r="D84" s="10"/>
      <c r="H84" s="7">
        <f t="shared" si="0"/>
        <v>-2.0258432129198402E-2</v>
      </c>
      <c r="I84" s="7">
        <f t="shared" si="3"/>
        <v>-1.3982756880882895E-3</v>
      </c>
    </row>
    <row r="85" spans="1:9" ht="14.5" x14ac:dyDescent="0.35">
      <c r="A85" s="11">
        <v>44842</v>
      </c>
      <c r="B85" s="10">
        <v>514.70000000000005</v>
      </c>
      <c r="C85" s="10">
        <v>109.2</v>
      </c>
      <c r="D85" s="10"/>
      <c r="H85" s="7">
        <f t="shared" si="0"/>
        <v>-1.1013539979641244E-2</v>
      </c>
      <c r="I85" s="7">
        <f t="shared" si="3"/>
        <v>1.8484814674103161E-2</v>
      </c>
    </row>
    <row r="86" spans="1:9" ht="14.5" x14ac:dyDescent="0.35">
      <c r="A86" s="11">
        <v>44873</v>
      </c>
      <c r="B86" s="10">
        <v>524.75</v>
      </c>
      <c r="C86" s="10">
        <v>109.1</v>
      </c>
      <c r="D86" s="10"/>
      <c r="H86" s="7">
        <f t="shared" si="0"/>
        <v>1.933775204203339E-2</v>
      </c>
      <c r="I86" s="7">
        <f t="shared" si="3"/>
        <v>-9.1617047177964075E-4</v>
      </c>
    </row>
    <row r="87" spans="1:9" ht="14.5" x14ac:dyDescent="0.35">
      <c r="A87" s="11">
        <v>44903</v>
      </c>
      <c r="B87" s="10">
        <v>530.70000000000005</v>
      </c>
      <c r="C87" s="10">
        <v>112.65</v>
      </c>
      <c r="D87" s="10"/>
      <c r="H87" s="7">
        <f t="shared" si="0"/>
        <v>1.127493113310706E-2</v>
      </c>
      <c r="I87" s="7">
        <f t="shared" si="3"/>
        <v>3.2020774039228497E-2</v>
      </c>
    </row>
    <row r="88" spans="1:9" ht="14.5" x14ac:dyDescent="0.35">
      <c r="A88" s="10" t="s">
        <v>89</v>
      </c>
      <c r="B88" s="10">
        <v>525.95000000000005</v>
      </c>
      <c r="C88" s="10">
        <v>113</v>
      </c>
      <c r="D88" s="10"/>
      <c r="H88" s="7">
        <f t="shared" si="0"/>
        <v>-8.9907386485662075E-3</v>
      </c>
      <c r="I88" s="7">
        <f t="shared" si="3"/>
        <v>3.102151834087046E-3</v>
      </c>
    </row>
    <row r="89" spans="1:9" ht="14.5" x14ac:dyDescent="0.35">
      <c r="A89" s="10" t="s">
        <v>90</v>
      </c>
      <c r="B89" s="10">
        <v>528.15</v>
      </c>
      <c r="C89" s="10">
        <v>112.5</v>
      </c>
      <c r="D89" s="10"/>
      <c r="H89" s="7">
        <f t="shared" si="0"/>
        <v>4.1741830838880386E-3</v>
      </c>
      <c r="I89" s="7">
        <f t="shared" si="3"/>
        <v>-4.4345970678657531E-3</v>
      </c>
    </row>
    <row r="90" spans="1:9" ht="14.5" x14ac:dyDescent="0.35">
      <c r="A90" s="10" t="s">
        <v>91</v>
      </c>
      <c r="B90" s="10">
        <v>532.35</v>
      </c>
      <c r="C90" s="10">
        <v>112.55</v>
      </c>
      <c r="D90" s="10"/>
      <c r="H90" s="7">
        <f t="shared" si="0"/>
        <v>7.9208334914440577E-3</v>
      </c>
      <c r="I90" s="7">
        <f t="shared" si="3"/>
        <v>4.4434570826645131E-4</v>
      </c>
    </row>
    <row r="91" spans="1:9" ht="14.5" x14ac:dyDescent="0.35">
      <c r="A91" s="10" t="s">
        <v>92</v>
      </c>
      <c r="B91" s="10">
        <v>520.35</v>
      </c>
      <c r="C91" s="10">
        <v>110.05</v>
      </c>
      <c r="D91" s="10"/>
      <c r="H91" s="7">
        <f t="shared" si="0"/>
        <v>-2.2799505676746747E-2</v>
      </c>
      <c r="I91" s="7">
        <f t="shared" si="3"/>
        <v>-2.2462759380270546E-2</v>
      </c>
    </row>
    <row r="92" spans="1:9" ht="14.5" x14ac:dyDescent="0.35">
      <c r="A92" s="10" t="s">
        <v>93</v>
      </c>
      <c r="B92" s="10">
        <v>511.3</v>
      </c>
      <c r="C92" s="10">
        <v>105.05</v>
      </c>
      <c r="D92" s="10"/>
      <c r="H92" s="7">
        <f t="shared" si="0"/>
        <v>-1.7545159997914898E-2</v>
      </c>
      <c r="I92" s="7">
        <f t="shared" si="3"/>
        <v>-4.6498380681461227E-2</v>
      </c>
    </row>
    <row r="93" spans="1:9" ht="14.5" x14ac:dyDescent="0.35">
      <c r="A93" s="10" t="s">
        <v>94</v>
      </c>
      <c r="B93" s="10">
        <v>521.9</v>
      </c>
      <c r="C93" s="10">
        <v>107.6</v>
      </c>
      <c r="D93" s="10"/>
      <c r="H93" s="7">
        <f t="shared" si="0"/>
        <v>2.0519496563414018E-2</v>
      </c>
      <c r="I93" s="7">
        <f t="shared" si="3"/>
        <v>2.3984220436674489E-2</v>
      </c>
    </row>
    <row r="94" spans="1:9" ht="14.5" x14ac:dyDescent="0.35">
      <c r="A94" s="10" t="s">
        <v>95</v>
      </c>
      <c r="B94" s="10">
        <v>519.29999999999995</v>
      </c>
      <c r="C94" s="10">
        <v>106.55</v>
      </c>
      <c r="D94" s="10"/>
      <c r="H94" s="7">
        <f t="shared" si="0"/>
        <v>-4.9942477990942849E-3</v>
      </c>
      <c r="I94" s="7">
        <f t="shared" si="3"/>
        <v>-9.8062891830578581E-3</v>
      </c>
    </row>
    <row r="95" spans="1:9" ht="14.5" x14ac:dyDescent="0.35">
      <c r="A95" s="10" t="s">
        <v>96</v>
      </c>
      <c r="B95" s="10">
        <v>520.4</v>
      </c>
      <c r="C95" s="10">
        <v>106.25</v>
      </c>
      <c r="D95" s="10"/>
      <c r="H95" s="7">
        <f t="shared" si="0"/>
        <v>2.115995788076907E-3</v>
      </c>
      <c r="I95" s="7">
        <f t="shared" si="3"/>
        <v>-2.8195507400999415E-3</v>
      </c>
    </row>
    <row r="96" spans="1:9" ht="14.5" x14ac:dyDescent="0.35">
      <c r="A96" s="10" t="s">
        <v>97</v>
      </c>
      <c r="B96" s="10">
        <v>523.79999999999995</v>
      </c>
      <c r="C96" s="10">
        <v>107.35</v>
      </c>
      <c r="D96" s="10"/>
      <c r="H96" s="7">
        <f t="shared" si="0"/>
        <v>6.5121854352613437E-3</v>
      </c>
      <c r="I96" s="7">
        <f t="shared" si="3"/>
        <v>1.0299716520263692E-2</v>
      </c>
    </row>
    <row r="97" spans="1:9" ht="14.5" x14ac:dyDescent="0.35">
      <c r="A97" s="10" t="s">
        <v>98</v>
      </c>
      <c r="B97" s="10">
        <v>514.85</v>
      </c>
      <c r="C97" s="10">
        <v>104.85</v>
      </c>
      <c r="D97" s="10"/>
      <c r="H97" s="7">
        <f t="shared" si="0"/>
        <v>-1.7234335970851555E-2</v>
      </c>
      <c r="I97" s="7">
        <f t="shared" si="3"/>
        <v>-2.3563766976861137E-2</v>
      </c>
    </row>
    <row r="98" spans="1:9" ht="14.5" x14ac:dyDescent="0.35">
      <c r="A98" s="10" t="s">
        <v>99</v>
      </c>
      <c r="B98" s="10">
        <v>531.25</v>
      </c>
      <c r="C98" s="10">
        <v>108.3</v>
      </c>
      <c r="D98" s="10"/>
      <c r="H98" s="7">
        <f t="shared" si="0"/>
        <v>3.1357124135866735E-2</v>
      </c>
      <c r="I98" s="7">
        <f t="shared" si="3"/>
        <v>3.2374396659016043E-2</v>
      </c>
    </row>
    <row r="99" spans="1:9" ht="14.5" x14ac:dyDescent="0.35">
      <c r="A99" s="11">
        <v>44570</v>
      </c>
      <c r="B99" s="10">
        <v>533.29999999999995</v>
      </c>
      <c r="C99" s="10">
        <v>106.4</v>
      </c>
      <c r="D99" s="10"/>
      <c r="H99" s="7">
        <f t="shared" si="0"/>
        <v>3.8513973679298731E-3</v>
      </c>
      <c r="I99" s="7">
        <f t="shared" si="3"/>
        <v>-1.769957709940086E-2</v>
      </c>
    </row>
    <row r="100" spans="1:9" ht="14.5" x14ac:dyDescent="0.35">
      <c r="A100" s="11">
        <v>44601</v>
      </c>
      <c r="B100" s="10">
        <v>536.70000000000005</v>
      </c>
      <c r="C100" s="10">
        <v>105.5</v>
      </c>
      <c r="D100" s="10"/>
      <c r="H100" s="7">
        <f t="shared" si="0"/>
        <v>6.3551615762267172E-3</v>
      </c>
      <c r="I100" s="7">
        <f t="shared" si="3"/>
        <v>-8.4946239914228568E-3</v>
      </c>
    </row>
    <row r="101" spans="1:9" ht="14.5" x14ac:dyDescent="0.35">
      <c r="A101" s="11">
        <v>44690</v>
      </c>
      <c r="B101" s="10">
        <v>538.9</v>
      </c>
      <c r="C101" s="10">
        <v>106.9</v>
      </c>
      <c r="D101" s="10"/>
      <c r="H101" s="7">
        <f t="shared" si="0"/>
        <v>4.090745756667769E-3</v>
      </c>
      <c r="I101" s="7">
        <f t="shared" si="3"/>
        <v>1.3182865114878491E-2</v>
      </c>
    </row>
    <row r="102" spans="1:9" ht="14.5" x14ac:dyDescent="0.35">
      <c r="A102" s="11">
        <v>44721</v>
      </c>
      <c r="B102" s="10">
        <v>537.79999999999995</v>
      </c>
      <c r="C102" s="10">
        <v>108.6</v>
      </c>
      <c r="D102" s="10"/>
      <c r="H102" s="7">
        <f t="shared" si="0"/>
        <v>-2.0432811046867489E-3</v>
      </c>
      <c r="I102" s="7">
        <f t="shared" si="3"/>
        <v>1.577758946883533E-2</v>
      </c>
    </row>
    <row r="103" spans="1:9" ht="14.5" x14ac:dyDescent="0.35">
      <c r="A103" s="11">
        <v>44751</v>
      </c>
      <c r="B103" s="10">
        <v>532.85</v>
      </c>
      <c r="C103" s="10">
        <v>107.6</v>
      </c>
      <c r="D103" s="10"/>
      <c r="H103" s="7">
        <f t="shared" si="0"/>
        <v>-9.2467851677990355E-3</v>
      </c>
      <c r="I103" s="7">
        <f t="shared" si="3"/>
        <v>-9.2507597721509984E-3</v>
      </c>
    </row>
    <row r="104" spans="1:9" ht="14.5" x14ac:dyDescent="0.35">
      <c r="A104" s="11">
        <v>44782</v>
      </c>
      <c r="B104" s="10">
        <v>544.65</v>
      </c>
      <c r="C104" s="10">
        <v>105.85</v>
      </c>
      <c r="D104" s="10"/>
      <c r="H104" s="7">
        <f t="shared" si="0"/>
        <v>2.1903427861489168E-2</v>
      </c>
      <c r="I104" s="7">
        <f t="shared" si="3"/>
        <v>-1.639765014680989E-2</v>
      </c>
    </row>
    <row r="105" spans="1:9" ht="14.5" x14ac:dyDescent="0.35">
      <c r="A105" s="11">
        <v>44813</v>
      </c>
      <c r="B105" s="10">
        <v>553.35</v>
      </c>
      <c r="C105" s="10">
        <v>105.7</v>
      </c>
      <c r="D105" s="10"/>
      <c r="H105" s="7">
        <f t="shared" si="0"/>
        <v>1.5847326182339899E-2</v>
      </c>
      <c r="I105" s="7">
        <f t="shared" si="3"/>
        <v>-1.4181047046821381E-3</v>
      </c>
    </row>
    <row r="106" spans="1:9" ht="14.5" x14ac:dyDescent="0.35">
      <c r="A106" s="11">
        <v>44904</v>
      </c>
      <c r="B106" s="10">
        <v>554.9</v>
      </c>
      <c r="C106" s="10">
        <v>107.75</v>
      </c>
      <c r="D106" s="10"/>
      <c r="H106" s="7">
        <f t="shared" si="0"/>
        <v>2.7972046210612191E-3</v>
      </c>
      <c r="I106" s="7">
        <f t="shared" si="3"/>
        <v>1.9208836107665113E-2</v>
      </c>
    </row>
    <row r="107" spans="1:9" ht="14.5" x14ac:dyDescent="0.35">
      <c r="A107" s="10" t="s">
        <v>100</v>
      </c>
      <c r="B107" s="10">
        <v>558</v>
      </c>
      <c r="C107" s="10">
        <v>107.75</v>
      </c>
      <c r="D107" s="10"/>
      <c r="H107" s="7">
        <f t="shared" si="0"/>
        <v>5.5710450494554295E-3</v>
      </c>
      <c r="I107" s="7">
        <f t="shared" si="3"/>
        <v>0</v>
      </c>
    </row>
    <row r="108" spans="1:9" ht="14.5" x14ac:dyDescent="0.35">
      <c r="A108" s="10" t="s">
        <v>101</v>
      </c>
      <c r="B108" s="10">
        <v>571.75</v>
      </c>
      <c r="C108" s="10">
        <v>109.15</v>
      </c>
      <c r="D108" s="10"/>
      <c r="H108" s="7">
        <f t="shared" si="0"/>
        <v>2.4342870521579525E-2</v>
      </c>
      <c r="I108" s="7">
        <f t="shared" si="3"/>
        <v>1.2909354012095722E-2</v>
      </c>
    </row>
    <row r="109" spans="1:9" ht="14.5" x14ac:dyDescent="0.35">
      <c r="A109" s="10" t="s">
        <v>102</v>
      </c>
      <c r="B109" s="10">
        <v>572.15</v>
      </c>
      <c r="C109" s="10">
        <v>107</v>
      </c>
      <c r="D109" s="10"/>
      <c r="H109" s="7">
        <f t="shared" si="0"/>
        <v>6.9936186083317559E-4</v>
      </c>
      <c r="I109" s="7">
        <f t="shared" si="3"/>
        <v>-1.9894248534046803E-2</v>
      </c>
    </row>
    <row r="110" spans="1:9" ht="14.5" x14ac:dyDescent="0.35">
      <c r="A110" s="10" t="s">
        <v>103</v>
      </c>
      <c r="B110" s="10">
        <v>561.79999999999995</v>
      </c>
      <c r="C110" s="10">
        <v>105.7</v>
      </c>
      <c r="D110" s="10"/>
      <c r="H110" s="7">
        <f t="shared" si="0"/>
        <v>-1.8255280093580472E-2</v>
      </c>
      <c r="I110" s="7">
        <f t="shared" si="3"/>
        <v>-1.2223941585714146E-2</v>
      </c>
    </row>
    <row r="111" spans="1:9" ht="14.5" x14ac:dyDescent="0.35">
      <c r="A111" s="10" t="s">
        <v>104</v>
      </c>
      <c r="B111" s="10">
        <v>572.25</v>
      </c>
      <c r="C111" s="10">
        <v>103.1</v>
      </c>
      <c r="D111" s="10"/>
      <c r="H111" s="7">
        <f t="shared" si="0"/>
        <v>1.8430044162532945E-2</v>
      </c>
      <c r="I111" s="7">
        <f t="shared" si="3"/>
        <v>-2.4905501853277789E-2</v>
      </c>
    </row>
    <row r="112" spans="1:9" ht="14.5" x14ac:dyDescent="0.35">
      <c r="A112" s="10" t="s">
        <v>105</v>
      </c>
      <c r="B112" s="10">
        <v>574.04999999999995</v>
      </c>
      <c r="C112" s="10">
        <v>105.8</v>
      </c>
      <c r="D112" s="10"/>
      <c r="H112" s="7">
        <f t="shared" si="0"/>
        <v>3.1405417071448502E-3</v>
      </c>
      <c r="I112" s="7">
        <f t="shared" si="3"/>
        <v>2.5851128401284892E-2</v>
      </c>
    </row>
    <row r="113" spans="1:9" ht="14.5" x14ac:dyDescent="0.35">
      <c r="A113" s="10" t="s">
        <v>106</v>
      </c>
      <c r="B113" s="10">
        <v>569.70000000000005</v>
      </c>
      <c r="C113" s="10">
        <v>104.45</v>
      </c>
      <c r="D113" s="10"/>
      <c r="H113" s="7">
        <f t="shared" si="0"/>
        <v>-7.6065940534709416E-3</v>
      </c>
      <c r="I113" s="7">
        <f t="shared" si="3"/>
        <v>-1.2842031421624168E-2</v>
      </c>
    </row>
    <row r="114" spans="1:9" ht="14.5" x14ac:dyDescent="0.35">
      <c r="A114" s="10" t="s">
        <v>107</v>
      </c>
      <c r="B114" s="10">
        <v>567.29999999999995</v>
      </c>
      <c r="C114" s="10">
        <v>103.6</v>
      </c>
      <c r="D114" s="10"/>
      <c r="H114" s="7">
        <f t="shared" si="0"/>
        <v>-4.2216421538285639E-3</v>
      </c>
      <c r="I114" s="7">
        <f t="shared" si="3"/>
        <v>-8.1711581771921407E-3</v>
      </c>
    </row>
    <row r="115" spans="1:9" ht="14.5" x14ac:dyDescent="0.35">
      <c r="A115" s="10" t="s">
        <v>108</v>
      </c>
      <c r="B115" s="10">
        <v>550.6</v>
      </c>
      <c r="C115" s="10">
        <v>104.3</v>
      </c>
      <c r="D115" s="10"/>
      <c r="H115" s="7">
        <f t="shared" si="0"/>
        <v>-2.9879671624014406E-2</v>
      </c>
      <c r="I115" s="7">
        <f t="shared" si="3"/>
        <v>6.7340321813441194E-3</v>
      </c>
    </row>
    <row r="116" spans="1:9" ht="14.5" x14ac:dyDescent="0.35">
      <c r="A116" s="10" t="s">
        <v>109</v>
      </c>
      <c r="B116" s="10">
        <v>543.29999999999995</v>
      </c>
      <c r="C116" s="10">
        <v>99.85</v>
      </c>
      <c r="D116" s="10"/>
      <c r="H116" s="7">
        <f t="shared" si="0"/>
        <v>-1.3346939151029691E-2</v>
      </c>
      <c r="I116" s="7">
        <f t="shared" si="3"/>
        <v>-4.3602302144902516E-2</v>
      </c>
    </row>
    <row r="117" spans="1:9" ht="14.5" x14ac:dyDescent="0.35">
      <c r="A117" s="10" t="s">
        <v>110</v>
      </c>
      <c r="B117" s="10">
        <v>536.5</v>
      </c>
      <c r="C117" s="10">
        <v>97.65</v>
      </c>
      <c r="D117" s="10"/>
      <c r="H117" s="7">
        <f t="shared" si="0"/>
        <v>-1.2595091486724108E-2</v>
      </c>
      <c r="I117" s="7">
        <f t="shared" si="3"/>
        <v>-2.2279402539136212E-2</v>
      </c>
    </row>
    <row r="118" spans="1:9" ht="14.5" x14ac:dyDescent="0.35">
      <c r="A118" s="10" t="s">
        <v>111</v>
      </c>
      <c r="B118" s="10">
        <v>524.85</v>
      </c>
      <c r="C118" s="10">
        <v>95.2</v>
      </c>
      <c r="D118" s="10"/>
      <c r="H118" s="7">
        <f t="shared" si="0"/>
        <v>-2.1954054588946344E-2</v>
      </c>
      <c r="I118" s="7">
        <f t="shared" si="3"/>
        <v>-2.5409715525368325E-2</v>
      </c>
    </row>
    <row r="119" spans="1:9" ht="14.5" x14ac:dyDescent="0.35">
      <c r="A119" s="10" t="s">
        <v>112</v>
      </c>
      <c r="B119" s="10">
        <v>521.75</v>
      </c>
      <c r="C119" s="10">
        <v>96.85</v>
      </c>
      <c r="D119" s="10"/>
      <c r="H119" s="7">
        <f t="shared" si="0"/>
        <v>-5.9239615244966251E-3</v>
      </c>
      <c r="I119" s="7">
        <f t="shared" si="3"/>
        <v>1.7183448055685193E-2</v>
      </c>
    </row>
    <row r="120" spans="1:9" ht="14.5" x14ac:dyDescent="0.35">
      <c r="A120" s="10" t="s">
        <v>113</v>
      </c>
      <c r="B120" s="10">
        <v>530.6</v>
      </c>
      <c r="C120" s="10">
        <v>99.3</v>
      </c>
      <c r="D120" s="10"/>
      <c r="H120" s="7">
        <f t="shared" si="0"/>
        <v>1.6819895746329167E-2</v>
      </c>
      <c r="I120" s="7">
        <f t="shared" si="3"/>
        <v>2.4982181198122014E-2</v>
      </c>
    </row>
    <row r="121" spans="1:9" ht="14.5" x14ac:dyDescent="0.35">
      <c r="A121" s="11">
        <v>44630</v>
      </c>
      <c r="B121" s="10">
        <v>519.75</v>
      </c>
      <c r="C121" s="10">
        <v>98.35</v>
      </c>
      <c r="D121" s="10"/>
      <c r="H121" s="7">
        <f t="shared" si="0"/>
        <v>-2.066051496551707E-2</v>
      </c>
      <c r="I121" s="7">
        <f t="shared" si="3"/>
        <v>-9.6130262160588811E-3</v>
      </c>
    </row>
    <row r="122" spans="1:9" ht="14.5" x14ac:dyDescent="0.35">
      <c r="A122" s="11">
        <v>44661</v>
      </c>
      <c r="B122" s="10">
        <v>532.70000000000005</v>
      </c>
      <c r="C122" s="10">
        <v>101.15</v>
      </c>
      <c r="D122" s="10"/>
      <c r="H122" s="7">
        <f t="shared" si="0"/>
        <v>2.4610487184831237E-2</v>
      </c>
      <c r="I122" s="7">
        <f t="shared" si="3"/>
        <v>2.8072018778686522E-2</v>
      </c>
    </row>
    <row r="123" spans="1:9" ht="14.5" x14ac:dyDescent="0.35">
      <c r="A123" s="11">
        <v>44722</v>
      </c>
      <c r="B123" s="10">
        <v>537.29999999999995</v>
      </c>
      <c r="C123" s="10">
        <v>103.55</v>
      </c>
      <c r="D123" s="10"/>
      <c r="H123" s="7">
        <f t="shared" si="0"/>
        <v>8.5981838118222263E-3</v>
      </c>
      <c r="I123" s="7">
        <f t="shared" si="3"/>
        <v>2.3450024227838522E-2</v>
      </c>
    </row>
    <row r="124" spans="1:9" ht="14.5" x14ac:dyDescent="0.35">
      <c r="A124" s="11">
        <v>44752</v>
      </c>
      <c r="B124" s="10">
        <v>530.20000000000005</v>
      </c>
      <c r="C124" s="10">
        <v>103.3</v>
      </c>
      <c r="D124" s="10"/>
      <c r="H124" s="7">
        <f t="shared" si="0"/>
        <v>-1.3302303879850449E-2</v>
      </c>
      <c r="I124" s="7">
        <f t="shared" si="3"/>
        <v>-2.4172117160002546E-3</v>
      </c>
    </row>
    <row r="125" spans="1:9" ht="14.5" x14ac:dyDescent="0.35">
      <c r="A125" s="11">
        <v>44844</v>
      </c>
      <c r="B125" s="10">
        <v>530.75</v>
      </c>
      <c r="C125" s="10">
        <v>103.2</v>
      </c>
      <c r="D125" s="10"/>
      <c r="H125" s="7">
        <f t="shared" si="0"/>
        <v>1.0368067284403084E-3</v>
      </c>
      <c r="I125" s="7">
        <f t="shared" si="3"/>
        <v>-9.6852307813042585E-4</v>
      </c>
    </row>
    <row r="126" spans="1:9" ht="14.5" x14ac:dyDescent="0.35">
      <c r="A126" s="16">
        <v>44875</v>
      </c>
      <c r="B126" s="10">
        <v>527.4</v>
      </c>
      <c r="C126" s="10">
        <v>100.35</v>
      </c>
      <c r="D126" s="10"/>
      <c r="H126" s="7">
        <f t="shared" si="0"/>
        <v>-6.3318266641792242E-3</v>
      </c>
      <c r="I126" s="7">
        <f t="shared" si="3"/>
        <v>-2.8004777805115261E-2</v>
      </c>
    </row>
    <row r="127" spans="1:9" ht="14.5" x14ac:dyDescent="0.35">
      <c r="A127" s="16">
        <v>44905</v>
      </c>
      <c r="B127" s="10">
        <v>533.79999999999995</v>
      </c>
      <c r="C127" s="10">
        <v>100.55</v>
      </c>
      <c r="D127" s="10"/>
      <c r="H127" s="7">
        <f t="shared" si="0"/>
        <v>1.206196305123736E-2</v>
      </c>
      <c r="I127" s="7">
        <f t="shared" si="3"/>
        <v>1.9910409763140096E-3</v>
      </c>
    </row>
    <row r="128" spans="1:9" ht="14.5" x14ac:dyDescent="0.35">
      <c r="A128" s="10" t="s">
        <v>114</v>
      </c>
      <c r="B128" s="10">
        <v>521.45000000000005</v>
      </c>
      <c r="C128" s="10">
        <v>100.1</v>
      </c>
      <c r="D128" s="10"/>
      <c r="H128" s="7">
        <f t="shared" si="0"/>
        <v>-2.3407844403201702E-2</v>
      </c>
      <c r="I128" s="7">
        <f t="shared" si="3"/>
        <v>-4.4854298974862095E-3</v>
      </c>
    </row>
    <row r="129" spans="1:9" ht="14.5" x14ac:dyDescent="0.35">
      <c r="A129" s="10" t="s">
        <v>115</v>
      </c>
      <c r="B129" s="10">
        <v>527.20000000000005</v>
      </c>
      <c r="C129" s="10">
        <v>100.1</v>
      </c>
      <c r="D129" s="10"/>
      <c r="H129" s="7">
        <f t="shared" si="0"/>
        <v>1.0966590621075675E-2</v>
      </c>
      <c r="I129" s="7">
        <f t="shared" si="3"/>
        <v>0</v>
      </c>
    </row>
    <row r="130" spans="1:9" ht="14.5" x14ac:dyDescent="0.35">
      <c r="A130" s="10" t="s">
        <v>116</v>
      </c>
      <c r="B130" s="10">
        <v>543.65</v>
      </c>
      <c r="C130" s="10">
        <v>99.55</v>
      </c>
      <c r="D130" s="10"/>
      <c r="H130" s="7">
        <f t="shared" si="0"/>
        <v>3.0725674255460963E-2</v>
      </c>
      <c r="I130" s="7">
        <f t="shared" si="3"/>
        <v>-5.5096558109695845E-3</v>
      </c>
    </row>
    <row r="131" spans="1:9" ht="14.5" x14ac:dyDescent="0.35">
      <c r="A131" s="10" t="s">
        <v>117</v>
      </c>
      <c r="B131" s="10">
        <v>562.45000000000005</v>
      </c>
      <c r="C131" s="10">
        <v>100.65</v>
      </c>
      <c r="D131" s="10"/>
      <c r="H131" s="7">
        <f t="shared" si="0"/>
        <v>3.3996583795076585E-2</v>
      </c>
      <c r="I131" s="7">
        <f t="shared" si="3"/>
        <v>1.0989121575595385E-2</v>
      </c>
    </row>
    <row r="132" spans="1:9" ht="14.5" x14ac:dyDescent="0.35">
      <c r="A132" s="10" t="s">
        <v>118</v>
      </c>
      <c r="B132" s="10">
        <v>553.4</v>
      </c>
      <c r="C132" s="10">
        <v>100.05</v>
      </c>
      <c r="D132" s="10"/>
      <c r="H132" s="7">
        <f t="shared" si="0"/>
        <v>-1.6221173886009532E-2</v>
      </c>
      <c r="I132" s="7">
        <f t="shared" si="3"/>
        <v>-5.979091056058183E-3</v>
      </c>
    </row>
    <row r="133" spans="1:9" ht="14.5" x14ac:dyDescent="0.35">
      <c r="A133" s="10" t="s">
        <v>119</v>
      </c>
      <c r="B133" s="10">
        <v>555.4</v>
      </c>
      <c r="C133" s="10">
        <v>100.9</v>
      </c>
      <c r="D133" s="10"/>
      <c r="H133" s="7">
        <f t="shared" si="0"/>
        <v>3.607507519873696E-3</v>
      </c>
      <c r="I133" s="7">
        <f t="shared" ref="I133:I196" si="4">LN(C133/C132)</f>
        <v>8.4598663298209847E-3</v>
      </c>
    </row>
    <row r="134" spans="1:9" ht="14.5" x14ac:dyDescent="0.35">
      <c r="A134" s="10" t="s">
        <v>120</v>
      </c>
      <c r="B134" s="10">
        <v>560.85</v>
      </c>
      <c r="C134" s="10">
        <v>100.2</v>
      </c>
      <c r="D134" s="10"/>
      <c r="H134" s="7">
        <f t="shared" si="0"/>
        <v>9.7649152185333241E-3</v>
      </c>
      <c r="I134" s="7">
        <f t="shared" si="4"/>
        <v>-6.9617387087988836E-3</v>
      </c>
    </row>
    <row r="135" spans="1:9" ht="14.5" x14ac:dyDescent="0.35">
      <c r="A135" s="10" t="s">
        <v>121</v>
      </c>
      <c r="B135" s="10">
        <v>570.5</v>
      </c>
      <c r="C135" s="10">
        <v>101.2</v>
      </c>
      <c r="D135" s="10"/>
      <c r="H135" s="7">
        <f t="shared" si="0"/>
        <v>1.7059679210897825E-2</v>
      </c>
      <c r="I135" s="7">
        <f t="shared" si="4"/>
        <v>9.9305682026007876E-3</v>
      </c>
    </row>
    <row r="136" spans="1:9" ht="14.5" x14ac:dyDescent="0.35">
      <c r="A136" s="10" t="s">
        <v>122</v>
      </c>
      <c r="B136" s="10">
        <v>578.54999999999995</v>
      </c>
      <c r="C136" s="10">
        <v>101.2</v>
      </c>
      <c r="D136" s="10"/>
      <c r="H136" s="7">
        <f t="shared" si="0"/>
        <v>1.401180402021608E-2</v>
      </c>
      <c r="I136" s="7">
        <f t="shared" si="4"/>
        <v>0</v>
      </c>
    </row>
    <row r="137" spans="1:9" ht="14.5" x14ac:dyDescent="0.35">
      <c r="A137" s="10" t="s">
        <v>123</v>
      </c>
      <c r="B137" s="10">
        <v>579.65</v>
      </c>
      <c r="C137" s="10">
        <v>104.2</v>
      </c>
      <c r="D137" s="10"/>
      <c r="H137" s="7">
        <f t="shared" si="0"/>
        <v>1.8994997940640723E-3</v>
      </c>
      <c r="I137" s="7">
        <f t="shared" si="4"/>
        <v>2.9213372465901423E-2</v>
      </c>
    </row>
    <row r="138" spans="1:9" ht="14.5" x14ac:dyDescent="0.35">
      <c r="A138" s="10" t="s">
        <v>124</v>
      </c>
      <c r="B138" s="10">
        <v>570.75</v>
      </c>
      <c r="C138" s="10">
        <v>101.6</v>
      </c>
      <c r="D138" s="10"/>
      <c r="H138" s="7">
        <f t="shared" si="0"/>
        <v>-1.5473187706505517E-2</v>
      </c>
      <c r="I138" s="7">
        <f t="shared" si="4"/>
        <v>-2.5268594174885053E-2</v>
      </c>
    </row>
    <row r="139" spans="1:9" ht="14.5" x14ac:dyDescent="0.35">
      <c r="A139" s="10" t="s">
        <v>125</v>
      </c>
      <c r="B139" s="10">
        <v>573.79999999999995</v>
      </c>
      <c r="C139" s="10">
        <v>101.55</v>
      </c>
      <c r="D139" s="10"/>
      <c r="H139" s="7">
        <f t="shared" si="0"/>
        <v>5.329618137359428E-3</v>
      </c>
      <c r="I139" s="7">
        <f t="shared" si="4"/>
        <v>-4.9224711798782526E-4</v>
      </c>
    </row>
    <row r="140" spans="1:9" ht="14.5" x14ac:dyDescent="0.35">
      <c r="A140" s="11">
        <v>44572</v>
      </c>
      <c r="B140" s="10">
        <v>576.9</v>
      </c>
      <c r="C140" s="10">
        <v>101.2</v>
      </c>
      <c r="D140" s="10"/>
      <c r="H140" s="7">
        <f t="shared" si="0"/>
        <v>5.3880377155794273E-3</v>
      </c>
      <c r="I140" s="7">
        <f t="shared" si="4"/>
        <v>-3.4525311730285034E-3</v>
      </c>
    </row>
    <row r="141" spans="1:9" ht="14.5" x14ac:dyDescent="0.35">
      <c r="A141" s="11">
        <v>44603</v>
      </c>
      <c r="B141" s="10">
        <v>573.85</v>
      </c>
      <c r="C141" s="10">
        <v>101.25</v>
      </c>
      <c r="D141" s="10"/>
      <c r="H141" s="7">
        <f t="shared" si="0"/>
        <v>-5.3009031361663326E-3</v>
      </c>
      <c r="I141" s="7">
        <f t="shared" si="4"/>
        <v>4.9394913328340432E-4</v>
      </c>
    </row>
    <row r="142" spans="1:9" ht="14.5" x14ac:dyDescent="0.35">
      <c r="A142" s="11">
        <v>44631</v>
      </c>
      <c r="B142" s="10">
        <v>584.9</v>
      </c>
      <c r="C142" s="10">
        <v>102</v>
      </c>
      <c r="D142" s="10"/>
      <c r="H142" s="7">
        <f t="shared" si="0"/>
        <v>1.907285432230257E-2</v>
      </c>
      <c r="I142" s="7">
        <f t="shared" si="4"/>
        <v>7.38010729762246E-3</v>
      </c>
    </row>
    <row r="143" spans="1:9" ht="14.5" x14ac:dyDescent="0.35">
      <c r="A143" s="11">
        <v>44662</v>
      </c>
      <c r="B143" s="10">
        <v>593.95000000000005</v>
      </c>
      <c r="C143" s="10">
        <v>104.75</v>
      </c>
      <c r="D143" s="10"/>
      <c r="H143" s="7">
        <f t="shared" si="0"/>
        <v>1.5354248286568617E-2</v>
      </c>
      <c r="I143" s="7">
        <f t="shared" si="4"/>
        <v>2.6603745517975938E-2</v>
      </c>
    </row>
    <row r="144" spans="1:9" ht="14.5" x14ac:dyDescent="0.35">
      <c r="A144" s="11">
        <v>44753</v>
      </c>
      <c r="B144" s="10">
        <v>614.15</v>
      </c>
      <c r="C144" s="10">
        <v>106.7</v>
      </c>
      <c r="D144" s="10"/>
      <c r="H144" s="7">
        <f t="shared" si="0"/>
        <v>3.3444057249554647E-2</v>
      </c>
      <c r="I144" s="7">
        <f t="shared" si="4"/>
        <v>1.8444599505460534E-2</v>
      </c>
    </row>
    <row r="145" spans="1:9" ht="14.5" x14ac:dyDescent="0.35">
      <c r="A145" s="11">
        <v>44815</v>
      </c>
      <c r="B145" s="10">
        <v>615.54999999999995</v>
      </c>
      <c r="C145" s="10">
        <v>106.1</v>
      </c>
      <c r="D145" s="10"/>
      <c r="H145" s="7">
        <f t="shared" si="0"/>
        <v>2.2769791085205356E-3</v>
      </c>
      <c r="I145" s="7">
        <f t="shared" si="4"/>
        <v>-5.6391126877702617E-3</v>
      </c>
    </row>
    <row r="146" spans="1:9" ht="14.5" x14ac:dyDescent="0.35">
      <c r="A146" s="11">
        <v>44845</v>
      </c>
      <c r="B146" s="10">
        <v>605.75</v>
      </c>
      <c r="C146" s="10">
        <v>104.7</v>
      </c>
      <c r="D146" s="10"/>
      <c r="H146" s="7">
        <f t="shared" si="0"/>
        <v>-1.6048817396988754E-2</v>
      </c>
      <c r="I146" s="7">
        <f t="shared" si="4"/>
        <v>-1.3282927743446167E-2</v>
      </c>
    </row>
    <row r="147" spans="1:9" ht="14.5" x14ac:dyDescent="0.35">
      <c r="A147" s="11">
        <v>44876</v>
      </c>
      <c r="B147" s="10">
        <v>601.29999999999995</v>
      </c>
      <c r="C147" s="10">
        <v>107.55</v>
      </c>
      <c r="D147" s="10"/>
      <c r="H147" s="7">
        <f t="shared" si="0"/>
        <v>-7.3733816511122076E-3</v>
      </c>
      <c r="I147" s="7">
        <f t="shared" si="4"/>
        <v>2.6856737837247725E-2</v>
      </c>
    </row>
    <row r="148" spans="1:9" ht="14.5" x14ac:dyDescent="0.35">
      <c r="A148" s="10" t="s">
        <v>126</v>
      </c>
      <c r="B148" s="10">
        <v>592.54999999999995</v>
      </c>
      <c r="C148" s="10">
        <v>108.7</v>
      </c>
      <c r="D148" s="10"/>
      <c r="H148" s="7">
        <f t="shared" si="0"/>
        <v>-1.4658720411065414E-2</v>
      </c>
      <c r="I148" s="7">
        <f t="shared" si="4"/>
        <v>1.0635938413424712E-2</v>
      </c>
    </row>
    <row r="149" spans="1:9" ht="14.5" x14ac:dyDescent="0.35">
      <c r="A149" s="10" t="s">
        <v>127</v>
      </c>
      <c r="B149" s="10">
        <v>600.85</v>
      </c>
      <c r="C149" s="10">
        <v>108.55</v>
      </c>
      <c r="D149" s="10"/>
      <c r="H149" s="7">
        <f t="shared" si="0"/>
        <v>1.3910061722851221E-2</v>
      </c>
      <c r="I149" s="7">
        <f t="shared" si="4"/>
        <v>-1.3808978028629307E-3</v>
      </c>
    </row>
    <row r="150" spans="1:9" ht="14.5" x14ac:dyDescent="0.35">
      <c r="A150" s="10" t="s">
        <v>128</v>
      </c>
      <c r="B150" s="10">
        <v>599.75</v>
      </c>
      <c r="C150" s="10">
        <v>106.55</v>
      </c>
      <c r="D150" s="10"/>
      <c r="H150" s="7">
        <f t="shared" si="0"/>
        <v>-1.8324176375048914E-3</v>
      </c>
      <c r="I150" s="7">
        <f t="shared" si="4"/>
        <v>-1.8596537779674679E-2</v>
      </c>
    </row>
    <row r="151" spans="1:9" ht="14.5" x14ac:dyDescent="0.35">
      <c r="A151" s="10" t="s">
        <v>129</v>
      </c>
      <c r="B151" s="10">
        <v>599.04999999999995</v>
      </c>
      <c r="C151" s="10">
        <v>105.85</v>
      </c>
      <c r="D151" s="10"/>
      <c r="H151" s="7">
        <f t="shared" si="0"/>
        <v>-1.1678346338959834E-3</v>
      </c>
      <c r="I151" s="7">
        <f t="shared" si="4"/>
        <v>-6.5913609637519984E-3</v>
      </c>
    </row>
    <row r="152" spans="1:9" ht="14.5" x14ac:dyDescent="0.35">
      <c r="A152" s="10" t="s">
        <v>130</v>
      </c>
      <c r="B152" s="10">
        <v>602.70000000000005</v>
      </c>
      <c r="C152" s="10">
        <v>105.5</v>
      </c>
      <c r="D152" s="10"/>
      <c r="H152" s="7">
        <f t="shared" si="0"/>
        <v>6.0744934030904302E-3</v>
      </c>
      <c r="I152" s="7">
        <f t="shared" si="4"/>
        <v>-3.312044664752913E-3</v>
      </c>
    </row>
    <row r="153" spans="1:9" ht="14.5" x14ac:dyDescent="0.35">
      <c r="A153" s="10" t="s">
        <v>131</v>
      </c>
      <c r="B153" s="10">
        <v>598.1</v>
      </c>
      <c r="C153" s="10">
        <v>104.25</v>
      </c>
      <c r="D153" s="10"/>
      <c r="H153" s="7">
        <f t="shared" si="0"/>
        <v>-7.6615964384871039E-3</v>
      </c>
      <c r="I153" s="7">
        <f t="shared" si="4"/>
        <v>-1.1919092237210311E-2</v>
      </c>
    </row>
    <row r="154" spans="1:9" ht="14.5" x14ac:dyDescent="0.35">
      <c r="A154" s="10" t="s">
        <v>132</v>
      </c>
      <c r="B154" s="10">
        <v>599.1</v>
      </c>
      <c r="C154" s="10">
        <v>105.2</v>
      </c>
      <c r="D154" s="10"/>
      <c r="H154" s="7">
        <f t="shared" si="0"/>
        <v>1.6705650393678121E-3</v>
      </c>
      <c r="I154" s="7">
        <f t="shared" si="4"/>
        <v>9.0714396246987759E-3</v>
      </c>
    </row>
    <row r="155" spans="1:9" ht="14.5" x14ac:dyDescent="0.35">
      <c r="A155" s="10" t="s">
        <v>133</v>
      </c>
      <c r="B155" s="10">
        <v>607.65</v>
      </c>
      <c r="C155" s="10">
        <v>105.45</v>
      </c>
      <c r="D155" s="10"/>
      <c r="H155" s="7">
        <f t="shared" si="0"/>
        <v>1.4170529226930023E-2</v>
      </c>
      <c r="I155" s="7">
        <f t="shared" si="4"/>
        <v>2.3736066211740396E-3</v>
      </c>
    </row>
    <row r="156" spans="1:9" ht="14.5" x14ac:dyDescent="0.35">
      <c r="A156" s="10" t="s">
        <v>134</v>
      </c>
      <c r="B156" s="10">
        <v>609.35</v>
      </c>
      <c r="C156" s="10">
        <v>105.5</v>
      </c>
      <c r="D156" s="10"/>
      <c r="H156" s="7">
        <f t="shared" si="0"/>
        <v>2.7937569527020957E-3</v>
      </c>
      <c r="I156" s="7">
        <f t="shared" si="4"/>
        <v>4.7404599133756746E-4</v>
      </c>
    </row>
    <row r="157" spans="1:9" ht="14.5" x14ac:dyDescent="0.35">
      <c r="A157" s="10" t="s">
        <v>135</v>
      </c>
      <c r="B157" s="10">
        <v>607.4</v>
      </c>
      <c r="C157" s="10">
        <v>106.2</v>
      </c>
      <c r="D157" s="10"/>
      <c r="H157" s="7">
        <f t="shared" si="0"/>
        <v>-3.2052626578629854E-3</v>
      </c>
      <c r="I157" s="7">
        <f t="shared" si="4"/>
        <v>6.6131558917172303E-3</v>
      </c>
    </row>
    <row r="158" spans="1:9" ht="14.5" x14ac:dyDescent="0.35">
      <c r="A158" s="10" t="s">
        <v>136</v>
      </c>
      <c r="B158" s="10">
        <v>608.6</v>
      </c>
      <c r="C158" s="10">
        <v>104.9</v>
      </c>
      <c r="D158" s="10"/>
      <c r="H158" s="7">
        <f t="shared" si="0"/>
        <v>1.9736848512224405E-3</v>
      </c>
      <c r="I158" s="7">
        <f t="shared" si="4"/>
        <v>-1.2316593405586985E-2</v>
      </c>
    </row>
    <row r="159" spans="1:9" ht="14.5" x14ac:dyDescent="0.35">
      <c r="A159" s="10" t="s">
        <v>137</v>
      </c>
      <c r="B159" s="10">
        <v>608.54999999999995</v>
      </c>
      <c r="C159" s="10">
        <v>106.1</v>
      </c>
      <c r="D159" s="10"/>
      <c r="H159" s="7">
        <f t="shared" si="0"/>
        <v>-8.2159142304849298E-5</v>
      </c>
      <c r="I159" s="7">
        <f t="shared" si="4"/>
        <v>1.1374530217685773E-2</v>
      </c>
    </row>
    <row r="160" spans="1:9" ht="14.5" x14ac:dyDescent="0.35">
      <c r="A160" s="10" t="s">
        <v>138</v>
      </c>
      <c r="B160" s="10">
        <v>602.45000000000005</v>
      </c>
      <c r="C160" s="10">
        <v>107.65</v>
      </c>
      <c r="D160" s="10"/>
      <c r="H160" s="7">
        <f t="shared" si="0"/>
        <v>-1.007440395128034E-2</v>
      </c>
      <c r="I160" s="7">
        <f t="shared" si="4"/>
        <v>1.45031781904347E-2</v>
      </c>
    </row>
    <row r="161" spans="1:9" ht="14.5" x14ac:dyDescent="0.35">
      <c r="A161" s="11">
        <v>44573</v>
      </c>
      <c r="B161" s="10">
        <v>608.1</v>
      </c>
      <c r="C161" s="10">
        <v>110.75</v>
      </c>
      <c r="D161" s="10"/>
      <c r="H161" s="7">
        <f t="shared" si="0"/>
        <v>9.3346677567784798E-3</v>
      </c>
      <c r="I161" s="7">
        <f t="shared" si="4"/>
        <v>2.8390185114873016E-2</v>
      </c>
    </row>
    <row r="162" spans="1:9" ht="14.5" x14ac:dyDescent="0.35">
      <c r="A162" s="11">
        <v>44604</v>
      </c>
      <c r="B162" s="10">
        <v>607.54999999999995</v>
      </c>
      <c r="C162" s="10">
        <v>112</v>
      </c>
      <c r="D162" s="10"/>
      <c r="H162" s="7">
        <f t="shared" si="0"/>
        <v>-9.0486577144339726E-4</v>
      </c>
      <c r="I162" s="7">
        <f t="shared" si="4"/>
        <v>1.1223462369849576E-2</v>
      </c>
    </row>
    <row r="163" spans="1:9" ht="14.5" x14ac:dyDescent="0.35">
      <c r="A163" s="11">
        <v>44693</v>
      </c>
      <c r="B163" s="10">
        <v>617.29999999999995</v>
      </c>
      <c r="C163" s="10">
        <v>115.85</v>
      </c>
      <c r="D163" s="10"/>
      <c r="H163" s="7">
        <f t="shared" si="0"/>
        <v>1.5920653045229393E-2</v>
      </c>
      <c r="I163" s="7">
        <f t="shared" si="4"/>
        <v>3.379737958329071E-2</v>
      </c>
    </row>
    <row r="164" spans="1:9" ht="14.5" x14ac:dyDescent="0.35">
      <c r="A164" s="11">
        <v>44724</v>
      </c>
      <c r="B164" s="10">
        <v>608.95000000000005</v>
      </c>
      <c r="C164" s="10">
        <v>112.95</v>
      </c>
      <c r="D164" s="10"/>
      <c r="H164" s="7">
        <f t="shared" si="0"/>
        <v>-1.3618966866730578E-2</v>
      </c>
      <c r="I164" s="7">
        <f t="shared" si="4"/>
        <v>-2.5351007964372854E-2</v>
      </c>
    </row>
    <row r="165" spans="1:9" ht="14.5" x14ac:dyDescent="0.35">
      <c r="A165" s="11">
        <v>44754</v>
      </c>
      <c r="B165" s="10">
        <v>607.04999999999995</v>
      </c>
      <c r="C165" s="10">
        <v>111.2</v>
      </c>
      <c r="D165" s="10"/>
      <c r="H165" s="7">
        <f t="shared" si="0"/>
        <v>-3.1250025431353891E-3</v>
      </c>
      <c r="I165" s="7">
        <f t="shared" si="4"/>
        <v>-1.5614861097530297E-2</v>
      </c>
    </row>
    <row r="166" spans="1:9" ht="14.5" x14ac:dyDescent="0.35">
      <c r="A166" s="11">
        <v>44785</v>
      </c>
      <c r="B166" s="10">
        <v>611.65</v>
      </c>
      <c r="C166" s="10">
        <v>111.85</v>
      </c>
      <c r="D166" s="10"/>
      <c r="H166" s="7">
        <f t="shared" si="0"/>
        <v>7.549063502941088E-3</v>
      </c>
      <c r="I166" s="7">
        <f t="shared" si="4"/>
        <v>5.8283061196566319E-3</v>
      </c>
    </row>
    <row r="167" spans="1:9" ht="14.5" x14ac:dyDescent="0.35">
      <c r="A167" s="16">
        <v>44816</v>
      </c>
      <c r="B167" s="10">
        <v>616.5</v>
      </c>
      <c r="C167" s="10">
        <v>110.45</v>
      </c>
      <c r="D167" s="10"/>
      <c r="H167" s="7">
        <f t="shared" si="0"/>
        <v>7.8980991114736832E-3</v>
      </c>
      <c r="I167" s="7">
        <f t="shared" si="4"/>
        <v>-1.2595758070012359E-2</v>
      </c>
    </row>
    <row r="168" spans="1:9" ht="14.5" x14ac:dyDescent="0.35">
      <c r="A168" s="16">
        <v>44907</v>
      </c>
      <c r="B168" s="10">
        <v>613.04999999999995</v>
      </c>
      <c r="C168" s="10">
        <v>111.7</v>
      </c>
      <c r="D168" s="10"/>
      <c r="H168" s="7">
        <f t="shared" si="0"/>
        <v>-5.6118239260030539E-3</v>
      </c>
      <c r="I168" s="7">
        <f t="shared" si="4"/>
        <v>1.1253776209028933E-2</v>
      </c>
    </row>
    <row r="169" spans="1:9" ht="14.5" x14ac:dyDescent="0.35">
      <c r="A169" s="10" t="s">
        <v>139</v>
      </c>
      <c r="B169" s="10">
        <v>616.75</v>
      </c>
      <c r="C169" s="10">
        <v>111.2</v>
      </c>
      <c r="D169" s="10"/>
      <c r="H169" s="7">
        <f t="shared" si="0"/>
        <v>6.0172567310702411E-3</v>
      </c>
      <c r="I169" s="7">
        <f t="shared" si="4"/>
        <v>-4.4863242586729709E-3</v>
      </c>
    </row>
    <row r="170" spans="1:9" ht="14.5" x14ac:dyDescent="0.35">
      <c r="A170" s="10" t="s">
        <v>140</v>
      </c>
      <c r="B170" s="10">
        <v>625.5</v>
      </c>
      <c r="C170" s="10">
        <v>113.05</v>
      </c>
      <c r="D170" s="10"/>
      <c r="H170" s="7">
        <f t="shared" si="0"/>
        <v>1.4087574497499753E-2</v>
      </c>
      <c r="I170" s="7">
        <f t="shared" si="4"/>
        <v>1.6499816907496804E-2</v>
      </c>
    </row>
    <row r="171" spans="1:9" ht="14.5" x14ac:dyDescent="0.35">
      <c r="A171" s="10" t="s">
        <v>141</v>
      </c>
      <c r="B171" s="10">
        <v>615.95000000000005</v>
      </c>
      <c r="C171" s="10">
        <v>110.95</v>
      </c>
      <c r="D171" s="10"/>
      <c r="H171" s="7">
        <f t="shared" si="0"/>
        <v>-1.5385538498982602E-2</v>
      </c>
      <c r="I171" s="7">
        <f t="shared" si="4"/>
        <v>-1.8750549345375917E-2</v>
      </c>
    </row>
    <row r="172" spans="1:9" ht="14.5" x14ac:dyDescent="0.35">
      <c r="A172" s="10" t="s">
        <v>142</v>
      </c>
      <c r="B172" s="10">
        <v>603.35</v>
      </c>
      <c r="C172" s="10">
        <v>111.05</v>
      </c>
      <c r="D172" s="10"/>
      <c r="H172" s="7">
        <f t="shared" si="0"/>
        <v>-2.0668331888373359E-2</v>
      </c>
      <c r="I172" s="7">
        <f t="shared" si="4"/>
        <v>9.0090096183345441E-4</v>
      </c>
    </row>
    <row r="173" spans="1:9" ht="14.5" x14ac:dyDescent="0.35">
      <c r="A173" s="10" t="s">
        <v>143</v>
      </c>
      <c r="B173" s="10">
        <v>604.45000000000005</v>
      </c>
      <c r="C173" s="10">
        <v>111.8</v>
      </c>
      <c r="D173" s="10"/>
      <c r="H173" s="7">
        <f t="shared" si="0"/>
        <v>1.8214941283912357E-3</v>
      </c>
      <c r="I173" s="7">
        <f t="shared" si="4"/>
        <v>6.731010380562244E-3</v>
      </c>
    </row>
    <row r="174" spans="1:9" ht="14.5" x14ac:dyDescent="0.35">
      <c r="A174" s="10" t="s">
        <v>144</v>
      </c>
      <c r="B174" s="10">
        <v>604.45000000000005</v>
      </c>
      <c r="C174" s="10">
        <v>110.95</v>
      </c>
      <c r="D174" s="10"/>
      <c r="H174" s="7">
        <f t="shared" si="0"/>
        <v>0</v>
      </c>
      <c r="I174" s="7">
        <f t="shared" si="4"/>
        <v>-7.6319113423957696E-3</v>
      </c>
    </row>
    <row r="175" spans="1:9" ht="14.5" x14ac:dyDescent="0.35">
      <c r="A175" s="10" t="s">
        <v>145</v>
      </c>
      <c r="B175" s="10">
        <v>593.4</v>
      </c>
      <c r="C175" s="10">
        <v>109.4</v>
      </c>
      <c r="D175" s="10"/>
      <c r="H175" s="7">
        <f t="shared" si="0"/>
        <v>-1.8450245791279605E-2</v>
      </c>
      <c r="I175" s="7">
        <f t="shared" si="4"/>
        <v>-1.4068759390722023E-2</v>
      </c>
    </row>
    <row r="176" spans="1:9" ht="14.5" x14ac:dyDescent="0.35">
      <c r="A176" s="10" t="s">
        <v>146</v>
      </c>
      <c r="B176" s="10">
        <v>593.4</v>
      </c>
      <c r="C176" s="10">
        <v>107.65</v>
      </c>
      <c r="D176" s="10"/>
      <c r="H176" s="7">
        <f t="shared" si="0"/>
        <v>0</v>
      </c>
      <c r="I176" s="7">
        <f t="shared" si="4"/>
        <v>-1.6125666177508765E-2</v>
      </c>
    </row>
    <row r="177" spans="1:9" ht="14.5" x14ac:dyDescent="0.35">
      <c r="A177" s="10" t="s">
        <v>147</v>
      </c>
      <c r="B177" s="10">
        <v>574</v>
      </c>
      <c r="C177" s="10">
        <v>102.25</v>
      </c>
      <c r="D177" s="10"/>
      <c r="H177" s="7">
        <f t="shared" si="0"/>
        <v>-3.3239311537154967E-2</v>
      </c>
      <c r="I177" s="7">
        <f t="shared" si="4"/>
        <v>-5.1464428887460965E-2</v>
      </c>
    </row>
    <row r="178" spans="1:9" ht="14.5" x14ac:dyDescent="0.35">
      <c r="A178" s="10" t="s">
        <v>148</v>
      </c>
      <c r="B178" s="10">
        <v>597.1</v>
      </c>
      <c r="C178" s="10">
        <v>105</v>
      </c>
      <c r="D178" s="10"/>
      <c r="H178" s="7">
        <f t="shared" si="0"/>
        <v>3.9455207233380356E-2</v>
      </c>
      <c r="I178" s="7">
        <f t="shared" si="4"/>
        <v>2.6539555234612312E-2</v>
      </c>
    </row>
    <row r="179" spans="1:9" ht="14.5" x14ac:dyDescent="0.35">
      <c r="A179" s="10" t="s">
        <v>149</v>
      </c>
      <c r="B179" s="10">
        <v>601.9</v>
      </c>
      <c r="C179" s="10">
        <v>111.15</v>
      </c>
      <c r="D179" s="10"/>
      <c r="H179" s="7">
        <f t="shared" si="0"/>
        <v>8.0067150007782206E-3</v>
      </c>
      <c r="I179" s="7">
        <f t="shared" si="4"/>
        <v>5.6920290252682353E-2</v>
      </c>
    </row>
    <row r="180" spans="1:9" ht="14.5" x14ac:dyDescent="0.35">
      <c r="A180" s="10" t="s">
        <v>150</v>
      </c>
      <c r="B180" s="10">
        <v>601.04999999999995</v>
      </c>
      <c r="C180" s="10">
        <v>110</v>
      </c>
      <c r="D180" s="10"/>
      <c r="H180" s="7">
        <f t="shared" si="0"/>
        <v>-1.4131928034618938E-3</v>
      </c>
      <c r="I180" s="7">
        <f t="shared" si="4"/>
        <v>-1.0400274617789456E-2</v>
      </c>
    </row>
    <row r="181" spans="1:9" ht="14.5" x14ac:dyDescent="0.35">
      <c r="A181" s="10" t="s">
        <v>151</v>
      </c>
      <c r="B181" s="10">
        <v>611.79999999999995</v>
      </c>
      <c r="C181" s="10">
        <v>111.75</v>
      </c>
      <c r="D181" s="10"/>
      <c r="H181" s="7">
        <f t="shared" si="0"/>
        <v>1.7727305966539743E-2</v>
      </c>
      <c r="I181" s="7">
        <f t="shared" si="4"/>
        <v>1.5783867701261951E-2</v>
      </c>
    </row>
    <row r="182" spans="1:9" ht="14.5" x14ac:dyDescent="0.35">
      <c r="A182" s="10" t="s">
        <v>152</v>
      </c>
      <c r="B182" s="10">
        <v>613.70000000000005</v>
      </c>
      <c r="C182" s="10">
        <v>112.65</v>
      </c>
      <c r="D182" s="10"/>
      <c r="H182" s="7">
        <f t="shared" si="0"/>
        <v>3.100777678248407E-3</v>
      </c>
      <c r="I182" s="7">
        <f t="shared" si="4"/>
        <v>8.0214333845753053E-3</v>
      </c>
    </row>
    <row r="183" spans="1:9" ht="14.5" x14ac:dyDescent="0.35">
      <c r="A183" s="11">
        <v>44958</v>
      </c>
      <c r="B183" s="10">
        <v>612.20000000000005</v>
      </c>
      <c r="C183" s="10">
        <v>119.25</v>
      </c>
      <c r="D183" s="10"/>
      <c r="H183" s="7">
        <f t="shared" si="0"/>
        <v>-2.4471828837392077E-3</v>
      </c>
      <c r="I183" s="7">
        <f t="shared" si="4"/>
        <v>5.6936462890197007E-2</v>
      </c>
    </row>
    <row r="184" spans="1:9" ht="14.5" x14ac:dyDescent="0.35">
      <c r="A184" s="11">
        <v>44986</v>
      </c>
      <c r="B184" s="10">
        <v>612.4</v>
      </c>
      <c r="C184" s="10">
        <v>118.45</v>
      </c>
      <c r="D184" s="10"/>
      <c r="H184" s="7">
        <f t="shared" si="0"/>
        <v>3.2663727221640866E-4</v>
      </c>
      <c r="I184" s="7">
        <f t="shared" si="4"/>
        <v>-6.7311991636560915E-3</v>
      </c>
    </row>
    <row r="185" spans="1:9" ht="14.5" x14ac:dyDescent="0.35">
      <c r="A185" s="11">
        <v>45017</v>
      </c>
      <c r="B185" s="10">
        <v>605.20000000000005</v>
      </c>
      <c r="C185" s="10">
        <v>115.75</v>
      </c>
      <c r="D185" s="10"/>
      <c r="H185" s="7">
        <f t="shared" si="0"/>
        <v>-1.1826681869327711E-2</v>
      </c>
      <c r="I185" s="7">
        <f t="shared" si="4"/>
        <v>-2.3058237638451048E-2</v>
      </c>
    </row>
    <row r="186" spans="1:9" ht="14.5" x14ac:dyDescent="0.35">
      <c r="A186" s="11">
        <v>45047</v>
      </c>
      <c r="B186" s="10">
        <v>605.1</v>
      </c>
      <c r="C186" s="10">
        <v>116.55</v>
      </c>
      <c r="D186" s="10"/>
      <c r="H186" s="7">
        <f t="shared" si="0"/>
        <v>-1.6524828592514914E-4</v>
      </c>
      <c r="I186" s="7">
        <f t="shared" si="4"/>
        <v>6.8876725154227237E-3</v>
      </c>
    </row>
    <row r="187" spans="1:9" ht="14.5" x14ac:dyDescent="0.35">
      <c r="A187" s="11">
        <v>45078</v>
      </c>
      <c r="B187" s="10">
        <v>600.65</v>
      </c>
      <c r="C187" s="10">
        <v>115.65</v>
      </c>
      <c r="D187" s="10"/>
      <c r="H187" s="7">
        <f t="shared" si="0"/>
        <v>-7.3813314608917168E-3</v>
      </c>
      <c r="I187" s="7">
        <f t="shared" si="4"/>
        <v>-7.751976804317824E-3</v>
      </c>
    </row>
    <row r="188" spans="1:9" ht="14.5" x14ac:dyDescent="0.35">
      <c r="A188" s="11">
        <v>45170</v>
      </c>
      <c r="B188" s="10">
        <v>607.70000000000005</v>
      </c>
      <c r="C188" s="10">
        <v>117.55</v>
      </c>
      <c r="D188" s="10"/>
      <c r="H188" s="7">
        <f t="shared" si="0"/>
        <v>1.1668936973925459E-2</v>
      </c>
      <c r="I188" s="7">
        <f t="shared" si="4"/>
        <v>1.6295386308630273E-2</v>
      </c>
    </row>
    <row r="189" spans="1:9" ht="14.5" x14ac:dyDescent="0.35">
      <c r="A189" s="11">
        <v>45200</v>
      </c>
      <c r="B189" s="10">
        <v>595.15</v>
      </c>
      <c r="C189" s="10">
        <v>118.85</v>
      </c>
      <c r="D189" s="10"/>
      <c r="H189" s="7">
        <f t="shared" si="0"/>
        <v>-2.0867864527420881E-2</v>
      </c>
      <c r="I189" s="7">
        <f t="shared" si="4"/>
        <v>1.0998418820124336E-2</v>
      </c>
    </row>
    <row r="190" spans="1:9" ht="14.5" x14ac:dyDescent="0.35">
      <c r="A190" s="11">
        <v>45231</v>
      </c>
      <c r="B190" s="10">
        <v>596.70000000000005</v>
      </c>
      <c r="C190" s="10">
        <v>118.85</v>
      </c>
      <c r="D190" s="10"/>
      <c r="H190" s="7">
        <f t="shared" si="0"/>
        <v>2.6009999141474783E-3</v>
      </c>
      <c r="I190" s="7">
        <f t="shared" si="4"/>
        <v>0</v>
      </c>
    </row>
    <row r="191" spans="1:9" ht="14.5" x14ac:dyDescent="0.35">
      <c r="A191" s="11">
        <v>45261</v>
      </c>
      <c r="B191" s="10">
        <v>594.9</v>
      </c>
      <c r="C191" s="10">
        <v>118.1</v>
      </c>
      <c r="D191" s="10"/>
      <c r="H191" s="7">
        <f t="shared" si="0"/>
        <v>-3.0211503341763223E-3</v>
      </c>
      <c r="I191" s="7">
        <f t="shared" si="4"/>
        <v>-6.330470602886302E-3</v>
      </c>
    </row>
    <row r="192" spans="1:9" ht="14.5" x14ac:dyDescent="0.35">
      <c r="A192" s="10" t="s">
        <v>153</v>
      </c>
      <c r="B192" s="10">
        <v>600.1</v>
      </c>
      <c r="C192" s="10">
        <v>120.45</v>
      </c>
      <c r="D192" s="10"/>
      <c r="H192" s="7">
        <f t="shared" si="0"/>
        <v>8.702983801607337E-3</v>
      </c>
      <c r="I192" s="7">
        <f t="shared" si="4"/>
        <v>1.9703005857563741E-2</v>
      </c>
    </row>
    <row r="193" spans="1:9" ht="14.5" x14ac:dyDescent="0.35">
      <c r="A193" s="10" t="s">
        <v>154</v>
      </c>
      <c r="B193" s="10">
        <v>603</v>
      </c>
      <c r="C193" s="10">
        <v>119.95</v>
      </c>
      <c r="D193" s="10"/>
      <c r="H193" s="7">
        <f t="shared" si="0"/>
        <v>4.8208887317183315E-3</v>
      </c>
      <c r="I193" s="7">
        <f t="shared" si="4"/>
        <v>-4.1597397751767708E-3</v>
      </c>
    </row>
    <row r="194" spans="1:9" ht="14.5" x14ac:dyDescent="0.35">
      <c r="A194" s="10" t="s">
        <v>155</v>
      </c>
      <c r="B194" s="10">
        <v>592.95000000000005</v>
      </c>
      <c r="C194" s="10">
        <v>119.35</v>
      </c>
      <c r="D194" s="10"/>
      <c r="H194" s="7">
        <f t="shared" si="0"/>
        <v>-1.6807118316381174E-2</v>
      </c>
      <c r="I194" s="7">
        <f t="shared" si="4"/>
        <v>-5.0146365008644942E-3</v>
      </c>
    </row>
    <row r="195" spans="1:9" ht="14.5" x14ac:dyDescent="0.35">
      <c r="A195" s="10" t="s">
        <v>156</v>
      </c>
      <c r="B195" s="10">
        <v>591.45000000000005</v>
      </c>
      <c r="C195" s="10">
        <v>122.45</v>
      </c>
      <c r="D195" s="10"/>
      <c r="H195" s="7">
        <f t="shared" si="0"/>
        <v>-2.5329294190582774E-3</v>
      </c>
      <c r="I195" s="7">
        <f t="shared" si="4"/>
        <v>2.5642430613337652E-2</v>
      </c>
    </row>
    <row r="196" spans="1:9" ht="14.5" x14ac:dyDescent="0.35">
      <c r="A196" s="10" t="s">
        <v>157</v>
      </c>
      <c r="B196" s="10">
        <v>589.85</v>
      </c>
      <c r="C196" s="10">
        <v>123.55</v>
      </c>
      <c r="D196" s="10"/>
      <c r="H196" s="7">
        <f t="shared" si="0"/>
        <v>-2.7088817038944443E-3</v>
      </c>
      <c r="I196" s="7">
        <f t="shared" si="4"/>
        <v>8.9431490364422529E-3</v>
      </c>
    </row>
    <row r="197" spans="1:9" ht="14.5" x14ac:dyDescent="0.35">
      <c r="A197" s="10" t="s">
        <v>158</v>
      </c>
      <c r="B197" s="10">
        <v>592.20000000000005</v>
      </c>
      <c r="C197" s="10">
        <v>122.95</v>
      </c>
      <c r="D197" s="10"/>
      <c r="H197" s="7">
        <f t="shared" si="0"/>
        <v>3.9761483796394168E-3</v>
      </c>
      <c r="I197" s="7">
        <f t="shared" ref="I197:I250" si="5">LN(C197/C196)</f>
        <v>-4.8681637724174651E-3</v>
      </c>
    </row>
    <row r="198" spans="1:9" ht="14.5" x14ac:dyDescent="0.35">
      <c r="A198" s="10" t="s">
        <v>159</v>
      </c>
      <c r="B198" s="10">
        <v>600.45000000000005</v>
      </c>
      <c r="C198" s="10">
        <v>122</v>
      </c>
      <c r="D198" s="10"/>
      <c r="H198" s="7">
        <f t="shared" si="0"/>
        <v>1.3834958439201501E-2</v>
      </c>
      <c r="I198" s="7">
        <f t="shared" si="5"/>
        <v>-7.7567239289450321E-3</v>
      </c>
    </row>
    <row r="199" spans="1:9" ht="14.5" x14ac:dyDescent="0.35">
      <c r="A199" s="10" t="s">
        <v>160</v>
      </c>
      <c r="B199" s="10">
        <v>594.35</v>
      </c>
      <c r="C199" s="10">
        <v>120.4</v>
      </c>
      <c r="D199" s="10"/>
      <c r="H199" s="7">
        <f t="shared" si="0"/>
        <v>-1.0211002680058976E-2</v>
      </c>
      <c r="I199" s="7">
        <f t="shared" si="5"/>
        <v>-1.3201511858535842E-2</v>
      </c>
    </row>
    <row r="200" spans="1:9" ht="14.5" x14ac:dyDescent="0.35">
      <c r="A200" s="10" t="s">
        <v>161</v>
      </c>
      <c r="B200" s="10">
        <v>568.70000000000005</v>
      </c>
      <c r="C200" s="10">
        <v>121</v>
      </c>
      <c r="D200" s="10"/>
      <c r="H200" s="7">
        <f t="shared" si="0"/>
        <v>-4.4115317113879254E-2</v>
      </c>
      <c r="I200" s="7">
        <f t="shared" si="5"/>
        <v>4.9710127220204021E-3</v>
      </c>
    </row>
    <row r="201" spans="1:9" ht="14.5" x14ac:dyDescent="0.35">
      <c r="A201" s="10" t="s">
        <v>162</v>
      </c>
      <c r="B201" s="10">
        <v>539.95000000000005</v>
      </c>
      <c r="C201" s="10">
        <v>120.65</v>
      </c>
      <c r="D201" s="10"/>
      <c r="H201" s="7">
        <f t="shared" si="0"/>
        <v>-5.1876511633985274E-2</v>
      </c>
      <c r="I201" s="7">
        <f t="shared" si="5"/>
        <v>-2.8967535257002608E-3</v>
      </c>
    </row>
    <row r="202" spans="1:9" ht="14.5" x14ac:dyDescent="0.35">
      <c r="A202" s="10" t="s">
        <v>163</v>
      </c>
      <c r="B202" s="10">
        <v>538.20000000000005</v>
      </c>
      <c r="C202" s="10">
        <v>118.75</v>
      </c>
      <c r="D202" s="10"/>
      <c r="H202" s="7">
        <f t="shared" si="0"/>
        <v>-3.2463043859632789E-3</v>
      </c>
      <c r="I202" s="7">
        <f t="shared" si="5"/>
        <v>-1.5873349156290233E-2</v>
      </c>
    </row>
    <row r="203" spans="1:9" ht="14.5" x14ac:dyDescent="0.35">
      <c r="A203" s="10" t="s">
        <v>164</v>
      </c>
      <c r="B203" s="10">
        <v>553.5</v>
      </c>
      <c r="C203" s="10">
        <v>119.7</v>
      </c>
      <c r="D203" s="10"/>
      <c r="H203" s="7">
        <f t="shared" si="0"/>
        <v>2.8031513855886009E-2</v>
      </c>
      <c r="I203" s="7">
        <f t="shared" si="5"/>
        <v>7.9681696491768813E-3</v>
      </c>
    </row>
    <row r="204" spans="1:9" ht="14.5" x14ac:dyDescent="0.35">
      <c r="A204" s="11">
        <v>44928</v>
      </c>
      <c r="B204" s="10">
        <v>527.35</v>
      </c>
      <c r="C204" s="10">
        <v>122.05</v>
      </c>
      <c r="D204" s="10"/>
      <c r="H204" s="7">
        <f t="shared" si="0"/>
        <v>-4.8397287426068303E-2</v>
      </c>
      <c r="I204" s="7">
        <f t="shared" si="5"/>
        <v>1.9442184275041473E-2</v>
      </c>
    </row>
    <row r="205" spans="1:9" ht="14.5" x14ac:dyDescent="0.35">
      <c r="A205" s="11">
        <v>44959</v>
      </c>
      <c r="B205" s="10">
        <v>528.1</v>
      </c>
      <c r="C205" s="10">
        <v>119.95</v>
      </c>
      <c r="D205" s="10"/>
      <c r="H205" s="7">
        <f t="shared" si="0"/>
        <v>1.4211949902643104E-3</v>
      </c>
      <c r="I205" s="7">
        <f t="shared" si="5"/>
        <v>-1.7355807553265441E-2</v>
      </c>
    </row>
    <row r="206" spans="1:9" ht="14.5" x14ac:dyDescent="0.35">
      <c r="A206" s="11">
        <v>44987</v>
      </c>
      <c r="B206" s="10">
        <v>544.20000000000005</v>
      </c>
      <c r="C206" s="10">
        <v>120.35</v>
      </c>
      <c r="D206" s="10"/>
      <c r="H206" s="7">
        <f t="shared" si="0"/>
        <v>3.0031166636258395E-2</v>
      </c>
      <c r="I206" s="7">
        <f t="shared" si="5"/>
        <v>3.3291749433773136E-3</v>
      </c>
    </row>
    <row r="207" spans="1:9" ht="14.5" x14ac:dyDescent="0.35">
      <c r="A207" s="11">
        <v>45079</v>
      </c>
      <c r="B207" s="10">
        <v>545.4</v>
      </c>
      <c r="C207" s="10">
        <v>117.45</v>
      </c>
      <c r="D207" s="10"/>
      <c r="H207" s="7">
        <f t="shared" si="0"/>
        <v>2.2026440623420965E-3</v>
      </c>
      <c r="I207" s="7">
        <f t="shared" si="5"/>
        <v>-2.4391453124159124E-2</v>
      </c>
    </row>
    <row r="208" spans="1:9" ht="14.5" x14ac:dyDescent="0.35">
      <c r="A208" s="11">
        <v>45109</v>
      </c>
      <c r="B208" s="10">
        <v>547.1</v>
      </c>
      <c r="C208" s="10">
        <v>111.45</v>
      </c>
      <c r="D208" s="10"/>
      <c r="H208" s="7">
        <f t="shared" si="0"/>
        <v>3.1121306582922799E-3</v>
      </c>
      <c r="I208" s="7">
        <f t="shared" si="5"/>
        <v>-5.2436651273043963E-2</v>
      </c>
    </row>
    <row r="209" spans="1:9" ht="14.5" x14ac:dyDescent="0.35">
      <c r="A209" s="11">
        <v>45140</v>
      </c>
      <c r="B209" s="10">
        <v>549.75</v>
      </c>
      <c r="C209" s="10">
        <v>111.45</v>
      </c>
      <c r="D209" s="10"/>
      <c r="H209" s="7">
        <f t="shared" si="0"/>
        <v>4.8320283650902657E-3</v>
      </c>
      <c r="I209" s="7">
        <f t="shared" si="5"/>
        <v>0</v>
      </c>
    </row>
    <row r="210" spans="1:9" ht="14.5" x14ac:dyDescent="0.35">
      <c r="A210" s="11">
        <v>45171</v>
      </c>
      <c r="B210" s="10">
        <v>550.79999999999995</v>
      </c>
      <c r="C210" s="10">
        <v>111.25</v>
      </c>
      <c r="D210" s="10"/>
      <c r="H210" s="7">
        <f t="shared" si="0"/>
        <v>1.908137419629134E-3</v>
      </c>
      <c r="I210" s="7">
        <f t="shared" si="5"/>
        <v>-1.7961387855282989E-3</v>
      </c>
    </row>
    <row r="211" spans="1:9" ht="14.5" x14ac:dyDescent="0.35">
      <c r="A211" s="11">
        <v>45201</v>
      </c>
      <c r="B211" s="10">
        <v>553.04999999999995</v>
      </c>
      <c r="C211" s="10">
        <v>108.8</v>
      </c>
      <c r="D211" s="10"/>
      <c r="H211" s="7">
        <f t="shared" si="0"/>
        <v>4.0766464937634153E-3</v>
      </c>
      <c r="I211" s="7">
        <f t="shared" si="5"/>
        <v>-2.2268586624507401E-2</v>
      </c>
    </row>
    <row r="212" spans="1:9" ht="14.5" x14ac:dyDescent="0.35">
      <c r="A212" s="10" t="s">
        <v>165</v>
      </c>
      <c r="B212" s="10">
        <v>537.5</v>
      </c>
      <c r="C212" s="10">
        <v>108.75</v>
      </c>
      <c r="D212" s="10"/>
      <c r="H212" s="7">
        <f t="shared" si="0"/>
        <v>-2.8519653346445288E-2</v>
      </c>
      <c r="I212" s="7">
        <f t="shared" si="5"/>
        <v>-4.5966445304880451E-4</v>
      </c>
    </row>
    <row r="213" spans="1:9" ht="14.5" x14ac:dyDescent="0.35">
      <c r="A213" s="10" t="s">
        <v>166</v>
      </c>
      <c r="B213" s="10">
        <v>540.85</v>
      </c>
      <c r="C213" s="10">
        <v>109.25</v>
      </c>
      <c r="D213" s="10"/>
      <c r="H213" s="7">
        <f t="shared" si="0"/>
        <v>6.2132160744806557E-3</v>
      </c>
      <c r="I213" s="7">
        <f t="shared" si="5"/>
        <v>4.5871640069061401E-3</v>
      </c>
    </row>
    <row r="214" spans="1:9" ht="14.5" x14ac:dyDescent="0.35">
      <c r="A214" s="10" t="s">
        <v>167</v>
      </c>
      <c r="B214" s="10">
        <v>542.25</v>
      </c>
      <c r="C214" s="10">
        <v>110.3</v>
      </c>
      <c r="D214" s="10"/>
      <c r="H214" s="7">
        <f t="shared" si="0"/>
        <v>2.5851736306850867E-3</v>
      </c>
      <c r="I214" s="7">
        <f t="shared" si="5"/>
        <v>9.5650922837572459E-3</v>
      </c>
    </row>
    <row r="215" spans="1:9" ht="14.5" x14ac:dyDescent="0.35">
      <c r="A215" s="10" t="s">
        <v>168</v>
      </c>
      <c r="B215" s="10">
        <v>540.1</v>
      </c>
      <c r="C215" s="10">
        <v>112</v>
      </c>
      <c r="D215" s="10"/>
      <c r="H215" s="7">
        <f t="shared" si="0"/>
        <v>-3.9728421081383063E-3</v>
      </c>
      <c r="I215" s="7">
        <f t="shared" si="5"/>
        <v>1.5294945035637861E-2</v>
      </c>
    </row>
    <row r="216" spans="1:9" ht="14.5" x14ac:dyDescent="0.35">
      <c r="A216" s="10" t="s">
        <v>169</v>
      </c>
      <c r="B216" s="10">
        <v>531</v>
      </c>
      <c r="C216" s="10">
        <v>112.25</v>
      </c>
      <c r="D216" s="10"/>
      <c r="H216" s="7">
        <f t="shared" si="0"/>
        <v>-1.69922863569066E-2</v>
      </c>
      <c r="I216" s="7">
        <f t="shared" si="5"/>
        <v>2.2296553272690683E-3</v>
      </c>
    </row>
    <row r="217" spans="1:9" ht="14.5" x14ac:dyDescent="0.35">
      <c r="A217" s="10" t="s">
        <v>170</v>
      </c>
      <c r="B217" s="10">
        <v>525.15</v>
      </c>
      <c r="C217" s="10">
        <v>112.35</v>
      </c>
      <c r="D217" s="10"/>
      <c r="H217" s="7">
        <f t="shared" si="0"/>
        <v>-1.1078085173154452E-2</v>
      </c>
      <c r="I217" s="7">
        <f t="shared" si="5"/>
        <v>8.9047200897435306E-4</v>
      </c>
    </row>
    <row r="218" spans="1:9" ht="14.5" x14ac:dyDescent="0.35">
      <c r="A218" s="10" t="s">
        <v>171</v>
      </c>
      <c r="B218" s="10">
        <v>523.45000000000005</v>
      </c>
      <c r="C218" s="10">
        <v>113.15</v>
      </c>
      <c r="D218" s="10"/>
      <c r="H218" s="7">
        <f t="shared" si="0"/>
        <v>-3.2424213034202829E-3</v>
      </c>
      <c r="I218" s="7">
        <f t="shared" si="5"/>
        <v>7.0953734482083631E-3</v>
      </c>
    </row>
    <row r="219" spans="1:9" ht="14.5" x14ac:dyDescent="0.35">
      <c r="A219" s="10" t="s">
        <v>172</v>
      </c>
      <c r="B219" s="10">
        <v>516.35</v>
      </c>
      <c r="C219" s="10">
        <v>111.15</v>
      </c>
      <c r="D219" s="10"/>
      <c r="H219" s="7">
        <f t="shared" si="0"/>
        <v>-1.3656684647950964E-2</v>
      </c>
      <c r="I219" s="7">
        <f t="shared" si="5"/>
        <v>-1.7833731669340849E-2</v>
      </c>
    </row>
    <row r="220" spans="1:9" ht="14.5" x14ac:dyDescent="0.35">
      <c r="A220" s="10" t="s">
        <v>173</v>
      </c>
      <c r="B220" s="10">
        <v>521</v>
      </c>
      <c r="C220" s="10">
        <v>112.05</v>
      </c>
      <c r="D220" s="10"/>
      <c r="H220" s="7">
        <f t="shared" si="0"/>
        <v>8.9652116359539222E-3</v>
      </c>
      <c r="I220" s="7">
        <f t="shared" si="5"/>
        <v>8.0645598367302743E-3</v>
      </c>
    </row>
    <row r="221" spans="1:9" ht="14.5" x14ac:dyDescent="0.35">
      <c r="A221" s="10" t="s">
        <v>174</v>
      </c>
      <c r="B221" s="10">
        <v>521.04999999999995</v>
      </c>
      <c r="C221" s="10">
        <v>109.75</v>
      </c>
      <c r="D221" s="10"/>
      <c r="H221" s="7">
        <f t="shared" si="0"/>
        <v>9.5964685069559733E-5</v>
      </c>
      <c r="I221" s="7">
        <f t="shared" si="5"/>
        <v>-2.0740148291655269E-2</v>
      </c>
    </row>
    <row r="222" spans="1:9" ht="14.5" x14ac:dyDescent="0.35">
      <c r="A222" s="10" t="s">
        <v>175</v>
      </c>
      <c r="B222" s="10">
        <v>527.70000000000005</v>
      </c>
      <c r="C222" s="10">
        <v>106.1</v>
      </c>
      <c r="D222" s="10"/>
      <c r="H222" s="7">
        <f t="shared" si="0"/>
        <v>1.2681933973185868E-2</v>
      </c>
      <c r="I222" s="7">
        <f t="shared" si="5"/>
        <v>-3.3823006335343339E-2</v>
      </c>
    </row>
    <row r="223" spans="1:9" ht="14.5" x14ac:dyDescent="0.35">
      <c r="A223" s="10" t="s">
        <v>176</v>
      </c>
      <c r="B223" s="10">
        <v>522.79999999999995</v>
      </c>
      <c r="C223" s="10">
        <v>103.95</v>
      </c>
      <c r="D223" s="10"/>
      <c r="H223" s="7">
        <f t="shared" si="0"/>
        <v>-9.3289586615555153E-3</v>
      </c>
      <c r="I223" s="7">
        <f t="shared" si="5"/>
        <v>-2.0472031315915427E-2</v>
      </c>
    </row>
    <row r="224" spans="1:9" ht="14.5" x14ac:dyDescent="0.35">
      <c r="A224" s="11">
        <v>44929</v>
      </c>
      <c r="B224" s="10">
        <v>536.70000000000005</v>
      </c>
      <c r="C224" s="10">
        <v>105.5</v>
      </c>
      <c r="D224" s="10"/>
      <c r="H224" s="7">
        <f t="shared" si="0"/>
        <v>2.6240297432716376E-2</v>
      </c>
      <c r="I224" s="7">
        <f t="shared" si="5"/>
        <v>1.4800938612099331E-2</v>
      </c>
    </row>
    <row r="225" spans="1:9" ht="14.5" x14ac:dyDescent="0.35">
      <c r="A225" s="11">
        <v>44960</v>
      </c>
      <c r="B225" s="10">
        <v>533.75</v>
      </c>
      <c r="C225" s="10">
        <v>104.65</v>
      </c>
      <c r="D225" s="10"/>
      <c r="H225" s="7">
        <f t="shared" si="0"/>
        <v>-5.5117146399489801E-3</v>
      </c>
      <c r="I225" s="7">
        <f t="shared" si="5"/>
        <v>-8.089504024112364E-3</v>
      </c>
    </row>
    <row r="226" spans="1:9" ht="14.5" x14ac:dyDescent="0.35">
      <c r="A226" s="11">
        <v>44988</v>
      </c>
      <c r="B226" s="10">
        <v>561.20000000000005</v>
      </c>
      <c r="C226" s="10">
        <v>107</v>
      </c>
      <c r="D226" s="10"/>
      <c r="H226" s="7">
        <f t="shared" si="0"/>
        <v>5.0149783685471731E-2</v>
      </c>
      <c r="I226" s="7">
        <f t="shared" si="5"/>
        <v>2.2207385569897452E-2</v>
      </c>
    </row>
    <row r="227" spans="1:9" ht="14.5" x14ac:dyDescent="0.35">
      <c r="A227" s="11">
        <v>45080</v>
      </c>
      <c r="B227" s="10">
        <v>561.70000000000005</v>
      </c>
      <c r="C227" s="10">
        <v>105.65</v>
      </c>
      <c r="D227" s="10"/>
      <c r="H227" s="7">
        <f t="shared" si="0"/>
        <v>8.9055131008106288E-4</v>
      </c>
      <c r="I227" s="7">
        <f t="shared" si="5"/>
        <v>-1.2697090399840396E-2</v>
      </c>
    </row>
    <row r="228" spans="1:9" ht="14.5" x14ac:dyDescent="0.35">
      <c r="A228" s="11">
        <v>45141</v>
      </c>
      <c r="B228" s="10">
        <v>564.79999999999995</v>
      </c>
      <c r="C228" s="10">
        <v>106.5</v>
      </c>
      <c r="D228" s="10"/>
      <c r="H228" s="7">
        <f t="shared" si="0"/>
        <v>5.5037866406451794E-3</v>
      </c>
      <c r="I228" s="7">
        <f t="shared" si="5"/>
        <v>8.0132410874140837E-3</v>
      </c>
    </row>
    <row r="229" spans="1:9" ht="14.5" x14ac:dyDescent="0.35">
      <c r="A229" s="11">
        <v>45172</v>
      </c>
      <c r="B229" s="10">
        <v>558.9</v>
      </c>
      <c r="C229" s="10">
        <v>108.2</v>
      </c>
      <c r="D229" s="10"/>
      <c r="H229" s="7">
        <f t="shared" si="0"/>
        <v>-1.0501119903379784E-2</v>
      </c>
      <c r="I229" s="7">
        <f t="shared" si="5"/>
        <v>1.5836381262901395E-2</v>
      </c>
    </row>
    <row r="230" spans="1:9" ht="14.5" x14ac:dyDescent="0.35">
      <c r="A230" s="11">
        <v>45202</v>
      </c>
      <c r="B230" s="10">
        <v>547.35</v>
      </c>
      <c r="C230" s="10">
        <v>108.1</v>
      </c>
      <c r="D230" s="10"/>
      <c r="H230" s="7">
        <f t="shared" si="0"/>
        <v>-2.0882114725085991E-2</v>
      </c>
      <c r="I230" s="7">
        <f t="shared" si="5"/>
        <v>-9.246417672186762E-4</v>
      </c>
    </row>
    <row r="231" spans="1:9" ht="14.5" x14ac:dyDescent="0.35">
      <c r="A231" s="10" t="s">
        <v>177</v>
      </c>
      <c r="B231" s="10">
        <v>530</v>
      </c>
      <c r="C231" s="10">
        <v>106.8</v>
      </c>
      <c r="D231" s="10"/>
      <c r="H231" s="7">
        <f t="shared" si="0"/>
        <v>-3.2211445004398903E-2</v>
      </c>
      <c r="I231" s="7">
        <f t="shared" si="5"/>
        <v>-1.2098798119068064E-2</v>
      </c>
    </row>
    <row r="232" spans="1:9" ht="14.5" x14ac:dyDescent="0.35">
      <c r="A232" s="10" t="s">
        <v>178</v>
      </c>
      <c r="B232" s="10">
        <v>525.4</v>
      </c>
      <c r="C232" s="10">
        <v>106.4</v>
      </c>
      <c r="D232" s="10"/>
      <c r="H232" s="7">
        <f t="shared" si="0"/>
        <v>-8.7171292947280481E-3</v>
      </c>
      <c r="I232" s="7">
        <f t="shared" si="5"/>
        <v>-3.7523496185503527E-3</v>
      </c>
    </row>
    <row r="233" spans="1:9" ht="14.5" x14ac:dyDescent="0.35">
      <c r="A233" s="10" t="s">
        <v>179</v>
      </c>
      <c r="B233" s="10">
        <v>517.54999999999995</v>
      </c>
      <c r="C233" s="10">
        <v>108.65</v>
      </c>
      <c r="D233" s="10"/>
      <c r="H233" s="7">
        <f t="shared" si="0"/>
        <v>-1.5053738421680356E-2</v>
      </c>
      <c r="I233" s="7">
        <f t="shared" si="5"/>
        <v>2.0926129794894666E-2</v>
      </c>
    </row>
    <row r="234" spans="1:9" ht="14.5" x14ac:dyDescent="0.35">
      <c r="A234" s="10" t="s">
        <v>180</v>
      </c>
      <c r="B234" s="10">
        <v>524.5</v>
      </c>
      <c r="C234" s="10">
        <v>105.05</v>
      </c>
      <c r="D234" s="10"/>
      <c r="H234" s="7">
        <f t="shared" si="0"/>
        <v>1.33392890065928E-2</v>
      </c>
      <c r="I234" s="7">
        <f t="shared" si="5"/>
        <v>-3.3695279411429267E-2</v>
      </c>
    </row>
    <row r="235" spans="1:9" ht="14.5" x14ac:dyDescent="0.35">
      <c r="A235" s="10" t="s">
        <v>181</v>
      </c>
      <c r="B235" s="10">
        <v>529.79999999999995</v>
      </c>
      <c r="C235" s="10">
        <v>107</v>
      </c>
      <c r="D235" s="10"/>
      <c r="H235" s="7">
        <f t="shared" si="0"/>
        <v>1.0054149001617413E-2</v>
      </c>
      <c r="I235" s="7">
        <f t="shared" si="5"/>
        <v>1.8392407170896755E-2</v>
      </c>
    </row>
    <row r="236" spans="1:9" ht="14.5" x14ac:dyDescent="0.35">
      <c r="A236" s="10" t="s">
        <v>182</v>
      </c>
      <c r="B236" s="10">
        <v>519.20000000000005</v>
      </c>
      <c r="C236" s="10">
        <v>104.5</v>
      </c>
      <c r="D236" s="10"/>
      <c r="H236" s="7">
        <f t="shared" si="0"/>
        <v>-2.0210411448088928E-2</v>
      </c>
      <c r="I236" s="7">
        <f t="shared" si="5"/>
        <v>-2.3641763057040424E-2</v>
      </c>
    </row>
    <row r="237" spans="1:9" ht="14.5" x14ac:dyDescent="0.35">
      <c r="A237" s="10" t="s">
        <v>183</v>
      </c>
      <c r="B237" s="10">
        <v>521.85</v>
      </c>
      <c r="C237" s="10">
        <v>104.75</v>
      </c>
      <c r="D237" s="10"/>
      <c r="H237" s="7">
        <f t="shared" si="0"/>
        <v>5.0910248761803613E-3</v>
      </c>
      <c r="I237" s="7">
        <f t="shared" si="5"/>
        <v>2.3894873973814854E-3</v>
      </c>
    </row>
    <row r="238" spans="1:9" ht="14.5" x14ac:dyDescent="0.35">
      <c r="A238" s="10" t="s">
        <v>184</v>
      </c>
      <c r="B238" s="10">
        <v>521.54999999999995</v>
      </c>
      <c r="C238" s="10">
        <v>104.8</v>
      </c>
      <c r="D238" s="10"/>
      <c r="H238" s="7">
        <f t="shared" si="0"/>
        <v>-5.7504314408074627E-4</v>
      </c>
      <c r="I238" s="7">
        <f t="shared" si="5"/>
        <v>4.7721308469466392E-4</v>
      </c>
    </row>
    <row r="239" spans="1:9" ht="14.5" x14ac:dyDescent="0.35">
      <c r="A239" s="10" t="s">
        <v>185</v>
      </c>
      <c r="B239" s="10">
        <v>512.75</v>
      </c>
      <c r="C239" s="10">
        <v>104.9</v>
      </c>
      <c r="D239" s="10"/>
      <c r="H239" s="7">
        <f t="shared" si="0"/>
        <v>-1.7016750169490044E-2</v>
      </c>
      <c r="I239" s="7">
        <f t="shared" si="5"/>
        <v>9.537435153098568E-4</v>
      </c>
    </row>
    <row r="240" spans="1:9" ht="14.5" x14ac:dyDescent="0.35">
      <c r="A240" s="10" t="s">
        <v>186</v>
      </c>
      <c r="B240" s="10">
        <v>505.35</v>
      </c>
      <c r="C240" s="10">
        <v>102.1</v>
      </c>
      <c r="D240" s="10"/>
      <c r="H240" s="7">
        <f t="shared" si="0"/>
        <v>-1.4537138431818364E-2</v>
      </c>
      <c r="I240" s="7">
        <f t="shared" si="5"/>
        <v>-2.7054790231631775E-2</v>
      </c>
    </row>
    <row r="241" spans="1:9" ht="14.5" x14ac:dyDescent="0.35">
      <c r="A241" s="10" t="s">
        <v>187</v>
      </c>
      <c r="B241" s="10">
        <v>510.15</v>
      </c>
      <c r="C241" s="10">
        <v>102.3</v>
      </c>
      <c r="D241" s="10"/>
      <c r="H241" s="7">
        <f t="shared" si="0"/>
        <v>9.4535416006424587E-3</v>
      </c>
      <c r="I241" s="7">
        <f t="shared" si="5"/>
        <v>1.956947786960947E-3</v>
      </c>
    </row>
    <row r="242" spans="1:9" ht="14.5" x14ac:dyDescent="0.35">
      <c r="A242" s="10" t="s">
        <v>188</v>
      </c>
      <c r="B242" s="10">
        <v>508.1</v>
      </c>
      <c r="C242" s="10">
        <v>102.5</v>
      </c>
      <c r="D242" s="10"/>
      <c r="H242" s="7">
        <f t="shared" si="0"/>
        <v>-4.0265215216278493E-3</v>
      </c>
      <c r="I242" s="7">
        <f t="shared" si="5"/>
        <v>1.9531256208820701E-3</v>
      </c>
    </row>
    <row r="243" spans="1:9" ht="14.5" x14ac:dyDescent="0.35">
      <c r="A243" s="10" t="s">
        <v>189</v>
      </c>
      <c r="B243" s="10">
        <v>516.5</v>
      </c>
      <c r="C243" s="10">
        <v>103.6</v>
      </c>
      <c r="D243" s="10"/>
      <c r="H243" s="7">
        <f t="shared" si="0"/>
        <v>1.6397009960006943E-2</v>
      </c>
      <c r="I243" s="7">
        <f t="shared" si="5"/>
        <v>1.0674531246919824E-2</v>
      </c>
    </row>
    <row r="244" spans="1:9" ht="14.5" x14ac:dyDescent="0.35">
      <c r="A244" s="10" t="s">
        <v>190</v>
      </c>
      <c r="B244" s="10">
        <v>523.75</v>
      </c>
      <c r="C244" s="10">
        <v>104.5</v>
      </c>
      <c r="D244" s="10"/>
      <c r="H244" s="7">
        <f t="shared" si="0"/>
        <v>1.3939182676654345E-2</v>
      </c>
      <c r="I244" s="7">
        <f t="shared" si="5"/>
        <v>8.6497415794831584E-3</v>
      </c>
    </row>
    <row r="245" spans="1:9" ht="14.5" x14ac:dyDescent="0.35">
      <c r="A245" s="11">
        <v>44989</v>
      </c>
      <c r="B245" s="10">
        <v>526.75</v>
      </c>
      <c r="C245" s="10">
        <v>104.1</v>
      </c>
      <c r="D245" s="10"/>
      <c r="H245" s="7">
        <f t="shared" si="0"/>
        <v>5.7115814479510021E-3</v>
      </c>
      <c r="I245" s="7">
        <f t="shared" si="5"/>
        <v>-3.8350957839425374E-3</v>
      </c>
    </row>
    <row r="246" spans="1:9" ht="14.5" x14ac:dyDescent="0.35">
      <c r="A246" s="11">
        <v>45050</v>
      </c>
      <c r="B246" s="10">
        <v>523</v>
      </c>
      <c r="C246" s="10">
        <v>104.85</v>
      </c>
      <c r="D246" s="10"/>
      <c r="H246" s="7">
        <f t="shared" si="0"/>
        <v>-7.1445886193755607E-3</v>
      </c>
      <c r="I246" s="7">
        <f t="shared" si="5"/>
        <v>7.1787817270057702E-3</v>
      </c>
    </row>
    <row r="247" spans="1:9" ht="14.5" x14ac:dyDescent="0.35">
      <c r="A247" s="11">
        <v>45081</v>
      </c>
      <c r="B247" s="10">
        <v>527.65</v>
      </c>
      <c r="C247" s="10">
        <v>104.35</v>
      </c>
      <c r="D247" s="10"/>
      <c r="H247" s="7">
        <f t="shared" si="0"/>
        <v>8.8517210521762667E-3</v>
      </c>
      <c r="I247" s="7">
        <f t="shared" si="5"/>
        <v>-4.78012382471916E-3</v>
      </c>
    </row>
    <row r="248" spans="1:9" ht="14.5" x14ac:dyDescent="0.35">
      <c r="A248" s="11">
        <v>45203</v>
      </c>
      <c r="B248" s="10">
        <v>526.29999999999995</v>
      </c>
      <c r="C248" s="10">
        <v>104.95</v>
      </c>
      <c r="D248" s="10"/>
      <c r="H248" s="7">
        <f t="shared" si="0"/>
        <v>-2.5617927573659259E-3</v>
      </c>
      <c r="I248" s="7">
        <f t="shared" si="5"/>
        <v>5.733412743432414E-3</v>
      </c>
    </row>
    <row r="249" spans="1:9" ht="14.5" x14ac:dyDescent="0.35">
      <c r="A249" s="11">
        <v>45234</v>
      </c>
      <c r="B249" s="10">
        <v>532.1</v>
      </c>
      <c r="C249" s="10">
        <v>107.55</v>
      </c>
      <c r="D249" s="10"/>
      <c r="H249" s="7">
        <f t="shared" si="0"/>
        <v>1.0960049242590399E-2</v>
      </c>
      <c r="I249" s="7">
        <f t="shared" si="5"/>
        <v>2.4471809447096971E-2</v>
      </c>
    </row>
    <row r="250" spans="1:9" ht="14.5" x14ac:dyDescent="0.35">
      <c r="A250" s="11">
        <v>45264</v>
      </c>
      <c r="B250" s="10">
        <v>528.20000000000005</v>
      </c>
      <c r="C250" s="10">
        <v>107.6</v>
      </c>
      <c r="D250" s="10"/>
      <c r="H250" s="7">
        <f t="shared" si="0"/>
        <v>-7.3564417392917416E-3</v>
      </c>
      <c r="I250" s="7">
        <f t="shared" si="5"/>
        <v>4.6479201394500444E-4</v>
      </c>
    </row>
    <row r="252" spans="1:9" ht="13" x14ac:dyDescent="0.3">
      <c r="G252" s="7" t="s">
        <v>191</v>
      </c>
      <c r="H252" s="7">
        <f>AVERAGE(H5:H250)</f>
        <v>8.1622259980393115E-5</v>
      </c>
      <c r="I252" s="7">
        <f>AVERAGE(I5:I250)</f>
        <v>-8.2927811065710449E-4</v>
      </c>
    </row>
    <row r="254" spans="1:9" ht="13" x14ac:dyDescent="0.3">
      <c r="G254" s="7" t="s">
        <v>192</v>
      </c>
      <c r="H254" s="7">
        <f>(1+H252)^252-1</f>
        <v>2.0780948493311246E-2</v>
      </c>
      <c r="I254" s="7">
        <f>(1+I252)^252-1</f>
        <v>-0.18865732670001045</v>
      </c>
    </row>
    <row r="1048550" spans="16384:16384" ht="15.75" customHeight="1" x14ac:dyDescent="0.3">
      <c r="XFD1048550" s="1" t="e">
        <f>solver_pre</f>
        <v>#NAME?</v>
      </c>
    </row>
    <row r="1048551" spans="16384:16384" ht="15.75" customHeight="1" x14ac:dyDescent="0.3">
      <c r="XFD1048551" s="1" t="e">
        <f>solver_scl</f>
        <v>#NAME?</v>
      </c>
    </row>
    <row r="1048552" spans="16384:16384" ht="15.75" customHeight="1" x14ac:dyDescent="0.3">
      <c r="XFD1048552" s="1" t="e">
        <f>solver_rlx</f>
        <v>#NAME?</v>
      </c>
    </row>
    <row r="1048553" spans="16384:16384" ht="15.75" customHeight="1" x14ac:dyDescent="0.3">
      <c r="XFD1048553" s="1" t="e">
        <f>solver_tol</f>
        <v>#NAME?</v>
      </c>
    </row>
    <row r="1048554" spans="16384:16384" ht="15.75" customHeight="1" x14ac:dyDescent="0.3">
      <c r="XFD1048554" s="1" t="e">
        <f>solver_cvg</f>
        <v>#NAME?</v>
      </c>
    </row>
    <row r="1048555" spans="16384:16384" ht="15.75" customHeight="1" x14ac:dyDescent="0.3">
      <c r="XFD1048555" s="1" t="e">
        <f>AREAS(solver_adj1)</f>
        <v>#NAME?</v>
      </c>
    </row>
    <row r="1048556" spans="16384:16384" ht="15.75" customHeight="1" x14ac:dyDescent="0.3">
      <c r="XFD1048556" s="1" t="e">
        <f>solver_ssz</f>
        <v>#NAME?</v>
      </c>
    </row>
    <row r="1048557" spans="16384:16384" ht="15.75" customHeight="1" x14ac:dyDescent="0.3">
      <c r="XFD1048557" s="1" t="e">
        <f>solver_rsd</f>
        <v>#NAME?</v>
      </c>
    </row>
    <row r="1048558" spans="16384:16384" ht="15.75" customHeight="1" x14ac:dyDescent="0.3">
      <c r="XFD1048558" s="1" t="e">
        <f>solver_mrt</f>
        <v>#NAME?</v>
      </c>
    </row>
    <row r="1048559" spans="16384:16384" ht="15.75" customHeight="1" x14ac:dyDescent="0.3">
      <c r="XFD1048559" s="1" t="e">
        <f>solver_mni</f>
        <v>#NAME?</v>
      </c>
    </row>
    <row r="1048560" spans="16384:16384" ht="15.75" customHeight="1" x14ac:dyDescent="0.3">
      <c r="XFD1048560" s="1" t="e">
        <f>solver_rbv</f>
        <v>#NAME?</v>
      </c>
    </row>
    <row r="1048561" spans="16384:16384" ht="15.75" customHeight="1" x14ac:dyDescent="0.3">
      <c r="XFD1048561" s="1" t="e">
        <f>solver_neg</f>
        <v>#NAME?</v>
      </c>
    </row>
    <row r="1048562" spans="16384:16384" ht="15.75" customHeight="1" x14ac:dyDescent="0.3">
      <c r="XFD1048562" s="1" t="e">
        <f>solver_ntr</f>
        <v>#NAME?</v>
      </c>
    </row>
    <row r="1048563" spans="16384:16384" ht="15.75" customHeight="1" x14ac:dyDescent="0.3">
      <c r="XFD1048563" s="1" t="e">
        <f>solver_acc</f>
        <v>#NAME?</v>
      </c>
    </row>
    <row r="1048564" spans="16384:16384" ht="15.75" customHeight="1" x14ac:dyDescent="0.3">
      <c r="XFD1048564" s="1" t="e">
        <f>solver_res</f>
        <v>#NAME?</v>
      </c>
    </row>
    <row r="1048565" spans="16384:16384" ht="15.75" customHeight="1" x14ac:dyDescent="0.3">
      <c r="XFD1048565" s="1" t="e">
        <f>solver_ars</f>
        <v>#NAME?</v>
      </c>
    </row>
    <row r="1048566" spans="16384:16384" ht="15.75" customHeight="1" x14ac:dyDescent="0.3">
      <c r="XFD1048566" s="1" t="e">
        <f>solver_sta</f>
        <v>#NAME?</v>
      </c>
    </row>
    <row r="1048567" spans="16384:16384" ht="15.75" customHeight="1" x14ac:dyDescent="0.3">
      <c r="XFD1048567" s="1" t="e">
        <f>solver_met</f>
        <v>#NAME?</v>
      </c>
    </row>
    <row r="1048568" spans="16384:16384" ht="15.75" customHeight="1" x14ac:dyDescent="0.3">
      <c r="XFD1048568" s="1" t="e">
        <f>solver_soc</f>
        <v>#NAME?</v>
      </c>
    </row>
    <row r="1048569" spans="16384:16384" ht="15.75" customHeight="1" x14ac:dyDescent="0.3">
      <c r="XFD1048569" s="1" t="e">
        <f>solver_lpt</f>
        <v>#NAME?</v>
      </c>
    </row>
    <row r="1048570" spans="16384:16384" ht="15.75" customHeight="1" x14ac:dyDescent="0.3">
      <c r="XFD1048570" s="1" t="e">
        <f>solver_lpp</f>
        <v>#NAME?</v>
      </c>
    </row>
    <row r="1048571" spans="16384:16384" ht="15.75" customHeight="1" x14ac:dyDescent="0.3">
      <c r="XFD1048571" s="1" t="e">
        <f>solver_gap</f>
        <v>#NAME?</v>
      </c>
    </row>
    <row r="1048572" spans="16384:16384" ht="15.75" customHeight="1" x14ac:dyDescent="0.3">
      <c r="XFD1048572" s="1" t="e">
        <f>solver_ips</f>
        <v>#NAME?</v>
      </c>
    </row>
    <row r="1048573" spans="16384:16384" ht="15.75" customHeight="1" x14ac:dyDescent="0.3">
      <c r="XFD1048573" s="1" t="e">
        <f>solver_fea</f>
        <v>#NAME?</v>
      </c>
    </row>
    <row r="1048574" spans="16384:16384" ht="15.75" customHeight="1" x14ac:dyDescent="0.3">
      <c r="XFD1048574" s="1" t="e">
        <f>solver_ipi</f>
        <v>#NAME?</v>
      </c>
    </row>
    <row r="1048575" spans="16384:16384" ht="15.75" customHeight="1" x14ac:dyDescent="0.3">
      <c r="XFD1048575" s="1" t="e">
        <f>solver_ipd</f>
        <v>#NAME?</v>
      </c>
    </row>
  </sheetData>
  <mergeCells count="1">
    <mergeCell ref="I1:J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737AC-0B3E-4421-B7EC-8EF67CC83115}">
  <sheetPr>
    <outlinePr summaryBelow="0" summaryRight="0"/>
  </sheetPr>
  <dimension ref="A1:XFD1048575"/>
  <sheetViews>
    <sheetView topLeftCell="G1" zoomScale="85" zoomScaleNormal="85" workbookViewId="0">
      <selection activeCell="M6" sqref="M6"/>
    </sheetView>
  </sheetViews>
  <sheetFormatPr defaultColWidth="12.54296875" defaultRowHeight="15.75" customHeight="1" x14ac:dyDescent="0.3"/>
  <cols>
    <col min="1" max="6" width="12.54296875" style="1" customWidth="1"/>
    <col min="7" max="7" width="13.7265625" style="1" customWidth="1"/>
    <col min="8" max="14" width="12.54296875" style="1" customWidth="1"/>
    <col min="15" max="15" width="13.1796875" style="1" bestFit="1" customWidth="1"/>
    <col min="16" max="16" width="13.54296875" style="1" customWidth="1"/>
    <col min="17" max="17" width="14.7265625" style="1" customWidth="1"/>
    <col min="18" max="18" width="12.54296875" style="1" customWidth="1"/>
    <col min="19" max="16384" width="12.54296875" style="1"/>
  </cols>
  <sheetData>
    <row r="1" spans="1:19" ht="15.75" customHeight="1" x14ac:dyDescent="0.3">
      <c r="A1" s="6"/>
      <c r="B1" s="6"/>
      <c r="C1" s="6" t="s">
        <v>22</v>
      </c>
      <c r="D1" s="6"/>
      <c r="E1" s="6"/>
      <c r="F1" s="6"/>
      <c r="H1" s="6"/>
      <c r="I1" s="20" t="s">
        <v>23</v>
      </c>
      <c r="J1" s="21"/>
      <c r="K1" s="6"/>
    </row>
    <row r="2" spans="1:19" ht="15.75" customHeight="1" x14ac:dyDescent="0.3">
      <c r="A2" s="7"/>
      <c r="B2" s="8" t="s">
        <v>24</v>
      </c>
      <c r="C2" s="8" t="s">
        <v>25</v>
      </c>
      <c r="H2" s="8" t="s">
        <v>26</v>
      </c>
      <c r="I2" s="8" t="s">
        <v>27</v>
      </c>
    </row>
    <row r="3" spans="1:19" ht="15.75" customHeight="1" x14ac:dyDescent="0.35">
      <c r="A3" s="9" t="s">
        <v>0</v>
      </c>
      <c r="B3" s="9" t="s">
        <v>28</v>
      </c>
      <c r="C3" s="9" t="s">
        <v>28</v>
      </c>
      <c r="H3" s="7" t="s">
        <v>29</v>
      </c>
      <c r="I3" s="7" t="s">
        <v>29</v>
      </c>
    </row>
    <row r="4" spans="1:19" ht="15.75" customHeight="1" x14ac:dyDescent="0.35">
      <c r="A4" s="10" t="s">
        <v>30</v>
      </c>
      <c r="B4" s="10">
        <v>517.70000000000005</v>
      </c>
      <c r="C4" s="10">
        <v>131.94999999999999</v>
      </c>
      <c r="D4" s="10"/>
      <c r="M4" s="7" t="s">
        <v>31</v>
      </c>
      <c r="N4" s="7" t="s">
        <v>32</v>
      </c>
      <c r="P4" s="7" t="s">
        <v>33</v>
      </c>
    </row>
    <row r="5" spans="1:19" ht="15.75" customHeight="1" x14ac:dyDescent="0.35">
      <c r="A5" s="10" t="s">
        <v>34</v>
      </c>
      <c r="B5" s="10">
        <v>509.5</v>
      </c>
      <c r="C5" s="10">
        <v>133.91</v>
      </c>
      <c r="D5" s="10"/>
      <c r="H5" s="7">
        <f t="shared" ref="H5:I132" si="0">LN(B5/B4)</f>
        <v>-1.5966071245076225E-2</v>
      </c>
      <c r="I5" s="7">
        <f t="shared" si="0"/>
        <v>1.4744869558141784E-2</v>
      </c>
      <c r="M5" s="7">
        <v>2.0780948493313023E-2</v>
      </c>
      <c r="N5" s="7">
        <v>1</v>
      </c>
      <c r="P5" s="7">
        <f t="shared" ref="P5:P6" si="1">N5*M5</f>
        <v>2.0780948493313023E-2</v>
      </c>
    </row>
    <row r="6" spans="1:19" ht="15.75" customHeight="1" x14ac:dyDescent="0.35">
      <c r="A6" s="10" t="s">
        <v>35</v>
      </c>
      <c r="B6" s="10">
        <v>511.8</v>
      </c>
      <c r="C6" s="10">
        <v>132.66</v>
      </c>
      <c r="D6" s="10"/>
      <c r="H6" s="7">
        <f t="shared" si="0"/>
        <v>4.5040710629089689E-3</v>
      </c>
      <c r="I6" s="7">
        <f t="shared" si="0"/>
        <v>-9.3784684100648545E-3</v>
      </c>
      <c r="M6" s="7">
        <v>-0.18865732670001556</v>
      </c>
      <c r="N6" s="7">
        <v>0</v>
      </c>
      <c r="P6" s="7">
        <f t="shared" si="1"/>
        <v>0</v>
      </c>
    </row>
    <row r="7" spans="1:19" ht="15.75" customHeight="1" x14ac:dyDescent="0.35">
      <c r="A7" s="10" t="s">
        <v>36</v>
      </c>
      <c r="B7" s="10">
        <v>509.3</v>
      </c>
      <c r="C7" s="10">
        <v>131.42500000000001</v>
      </c>
      <c r="D7" s="10"/>
      <c r="H7" s="7">
        <f t="shared" si="0"/>
        <v>-4.896689835129516E-3</v>
      </c>
      <c r="I7" s="7">
        <f t="shared" si="0"/>
        <v>-9.3531173918981105E-3</v>
      </c>
      <c r="N7" s="7">
        <f>SUM(N5:N6)</f>
        <v>1</v>
      </c>
    </row>
    <row r="8" spans="1:19" ht="15.75" customHeight="1" x14ac:dyDescent="0.35">
      <c r="A8" s="10" t="s">
        <v>37</v>
      </c>
      <c r="B8" s="10">
        <v>516.29999999999995</v>
      </c>
      <c r="C8" s="10">
        <v>130.215</v>
      </c>
      <c r="D8" s="10"/>
      <c r="H8" s="7">
        <f t="shared" si="0"/>
        <v>1.3650757995044333E-2</v>
      </c>
      <c r="I8" s="7">
        <f t="shared" si="0"/>
        <v>-9.2494161936307849E-3</v>
      </c>
    </row>
    <row r="9" spans="1:19" ht="15.75" customHeight="1" x14ac:dyDescent="0.35">
      <c r="A9" s="10" t="s">
        <v>38</v>
      </c>
      <c r="B9" s="10">
        <v>500.6</v>
      </c>
      <c r="C9" s="10">
        <v>127.755</v>
      </c>
      <c r="D9" s="10"/>
      <c r="H9" s="7">
        <f t="shared" si="0"/>
        <v>-3.0880612887929412E-2</v>
      </c>
      <c r="I9" s="7">
        <f t="shared" si="0"/>
        <v>-1.9072563250727155E-2</v>
      </c>
      <c r="O9" s="7" t="s">
        <v>39</v>
      </c>
      <c r="P9" s="6">
        <f>SUM(P5:P6)</f>
        <v>2.0780948493313023E-2</v>
      </c>
    </row>
    <row r="10" spans="1:19" ht="15.75" customHeight="1" x14ac:dyDescent="0.35">
      <c r="A10" s="10" t="s">
        <v>40</v>
      </c>
      <c r="B10" s="10">
        <v>494.75</v>
      </c>
      <c r="C10" s="10">
        <v>122.035</v>
      </c>
      <c r="D10" s="10"/>
      <c r="H10" s="7">
        <f t="shared" si="0"/>
        <v>-1.17547945149988E-2</v>
      </c>
      <c r="I10" s="7">
        <f t="shared" si="0"/>
        <v>-4.5806478425698981E-2</v>
      </c>
    </row>
    <row r="11" spans="1:19" ht="15.75" customHeight="1" x14ac:dyDescent="0.35">
      <c r="A11" s="10" t="s">
        <v>41</v>
      </c>
      <c r="B11" s="10">
        <v>505.5</v>
      </c>
      <c r="C11" s="10">
        <v>123.36</v>
      </c>
      <c r="D11" s="10"/>
      <c r="H11" s="7">
        <f t="shared" si="0"/>
        <v>2.1495453977851006E-2</v>
      </c>
      <c r="I11" s="7">
        <f t="shared" si="0"/>
        <v>1.0799020979564486E-2</v>
      </c>
      <c r="O11" s="7" t="s">
        <v>42</v>
      </c>
      <c r="P11" s="7">
        <v>7.0000000000000007E-2</v>
      </c>
    </row>
    <row r="12" spans="1:19" ht="15.75" customHeight="1" x14ac:dyDescent="0.35">
      <c r="A12" s="10" t="s">
        <v>43</v>
      </c>
      <c r="B12" s="10">
        <v>497.25</v>
      </c>
      <c r="C12" s="10">
        <v>124.67</v>
      </c>
      <c r="D12" s="10"/>
      <c r="H12" s="7">
        <f t="shared" si="0"/>
        <v>-1.6455120726444478E-2</v>
      </c>
      <c r="I12" s="7">
        <f t="shared" si="0"/>
        <v>1.0563336541864192E-2</v>
      </c>
    </row>
    <row r="13" spans="1:19" ht="15.75" customHeight="1" x14ac:dyDescent="0.35">
      <c r="A13" s="10" t="s">
        <v>44</v>
      </c>
      <c r="B13" s="10">
        <v>507.5</v>
      </c>
      <c r="C13" s="10">
        <v>126.08499999999999</v>
      </c>
      <c r="D13" s="10"/>
      <c r="H13" s="7">
        <f t="shared" si="0"/>
        <v>2.0403793181860745E-2</v>
      </c>
      <c r="I13" s="7">
        <f t="shared" si="0"/>
        <v>1.1286036326759067E-2</v>
      </c>
      <c r="O13" s="1" t="s">
        <v>45</v>
      </c>
      <c r="P13" s="1">
        <f t="array" ref="P13">MMULT(TRANSPOSE(N5:N6),MMULT(P17:Q18,N5:N6))</f>
        <v>2.4729240641825786E-4</v>
      </c>
    </row>
    <row r="14" spans="1:19" ht="15.75" customHeight="1" x14ac:dyDescent="0.35">
      <c r="A14" s="10" t="s">
        <v>46</v>
      </c>
      <c r="B14" s="10">
        <v>496.3</v>
      </c>
      <c r="C14" s="10">
        <v>127.105</v>
      </c>
      <c r="D14" s="10"/>
      <c r="H14" s="7">
        <f t="shared" si="0"/>
        <v>-2.2316128322547254E-2</v>
      </c>
      <c r="I14" s="7">
        <f t="shared" si="0"/>
        <v>8.0572338410720232E-3</v>
      </c>
      <c r="O14" s="1" t="s">
        <v>13</v>
      </c>
      <c r="P14" s="1">
        <f>SQRT(P13)</f>
        <v>1.5725533581352903E-2</v>
      </c>
    </row>
    <row r="15" spans="1:19" ht="15.75" customHeight="1" thickBot="1" x14ac:dyDescent="0.4">
      <c r="A15" s="11">
        <v>44597</v>
      </c>
      <c r="B15" s="10">
        <v>491</v>
      </c>
      <c r="C15" s="10">
        <v>129.52000000000001</v>
      </c>
      <c r="D15" s="10"/>
      <c r="H15" s="7">
        <f t="shared" si="0"/>
        <v>-1.0736454798874509E-2</v>
      </c>
      <c r="I15" s="7">
        <f t="shared" si="0"/>
        <v>1.8821792844665095E-2</v>
      </c>
      <c r="O15" s="1" t="s">
        <v>14</v>
      </c>
      <c r="P15" s="1">
        <f>SQRT(252)*P14</f>
        <v>0.24963510654032817</v>
      </c>
    </row>
    <row r="16" spans="1:19" ht="15.75" customHeight="1" x14ac:dyDescent="0.35">
      <c r="A16" s="11">
        <v>44656</v>
      </c>
      <c r="B16" s="10">
        <v>479.65</v>
      </c>
      <c r="C16" s="10">
        <v>126.13500000000001</v>
      </c>
      <c r="D16" s="10"/>
      <c r="H16" s="7">
        <f t="shared" si="0"/>
        <v>-2.3387456530564055E-2</v>
      </c>
      <c r="I16" s="7">
        <f t="shared" si="0"/>
        <v>-2.648254741640876E-2</v>
      </c>
      <c r="O16" s="12"/>
      <c r="P16" s="12" t="s">
        <v>26</v>
      </c>
      <c r="Q16" s="12" t="s">
        <v>47</v>
      </c>
      <c r="R16" s="13"/>
      <c r="S16" s="13"/>
    </row>
    <row r="17" spans="1:17" ht="15.75" customHeight="1" thickBot="1" x14ac:dyDescent="0.4">
      <c r="A17" s="11">
        <v>44686</v>
      </c>
      <c r="B17" s="10">
        <v>480</v>
      </c>
      <c r="C17" s="10">
        <v>128.42500000000001</v>
      </c>
      <c r="D17" s="10"/>
      <c r="H17" s="7">
        <f t="shared" si="0"/>
        <v>7.2943263797999231E-4</v>
      </c>
      <c r="I17" s="7">
        <f t="shared" si="0"/>
        <v>1.7992314400360525E-2</v>
      </c>
      <c r="O17" s="1" t="s">
        <v>26</v>
      </c>
      <c r="P17" s="1">
        <f>VARP('Opimal P'!$H$5:$H$250)</f>
        <v>2.4729240641825786E-4</v>
      </c>
      <c r="Q17" s="14">
        <v>1.3557285545883504E-4</v>
      </c>
    </row>
    <row r="18" spans="1:17" ht="15.75" customHeight="1" thickBot="1" x14ac:dyDescent="0.4">
      <c r="A18" s="11">
        <v>44717</v>
      </c>
      <c r="B18" s="10">
        <v>483.95</v>
      </c>
      <c r="C18" s="10">
        <v>128.37</v>
      </c>
      <c r="D18" s="10"/>
      <c r="H18" s="7">
        <f t="shared" si="0"/>
        <v>8.1954916931610469E-3</v>
      </c>
      <c r="I18" s="7">
        <f t="shared" si="0"/>
        <v>-4.2835725649639572E-4</v>
      </c>
      <c r="O18" s="1" t="s">
        <v>27</v>
      </c>
      <c r="P18" s="14">
        <v>1.3557285545883504E-4</v>
      </c>
      <c r="Q18" s="14">
        <f>VARP('Opimal P'!$I$5:$I$250)</f>
        <v>5.1325016870825703E-4</v>
      </c>
    </row>
    <row r="19" spans="1:17" ht="15.75" customHeight="1" x14ac:dyDescent="0.35">
      <c r="A19" s="11">
        <v>44809</v>
      </c>
      <c r="B19" s="10">
        <v>475.9</v>
      </c>
      <c r="C19" s="10">
        <v>125.22499999999999</v>
      </c>
      <c r="D19" s="10"/>
      <c r="H19" s="7">
        <f t="shared" si="0"/>
        <v>-1.6773847468032881E-2</v>
      </c>
      <c r="I19" s="7">
        <f t="shared" si="0"/>
        <v>-2.4804599853154724E-2</v>
      </c>
    </row>
    <row r="20" spans="1:17" ht="15.75" customHeight="1" x14ac:dyDescent="0.35">
      <c r="A20" s="11">
        <v>44839</v>
      </c>
      <c r="B20" s="10">
        <v>475.2</v>
      </c>
      <c r="C20" s="10">
        <v>116.49</v>
      </c>
      <c r="D20" s="10"/>
      <c r="H20" s="7">
        <f t="shared" si="0"/>
        <v>-1.4719800786295941E-3</v>
      </c>
      <c r="I20" s="7">
        <f t="shared" si="0"/>
        <v>-7.2306686831994843E-2</v>
      </c>
      <c r="O20" s="1" t="s">
        <v>48</v>
      </c>
      <c r="P20" s="1">
        <f>(P9-P11)/P15</f>
        <v>-0.19716398141595409</v>
      </c>
    </row>
    <row r="21" spans="1:17" ht="15.75" customHeight="1" x14ac:dyDescent="0.35">
      <c r="A21" s="11">
        <v>44870</v>
      </c>
      <c r="B21" s="10">
        <v>476.55</v>
      </c>
      <c r="C21" s="10">
        <v>116.57</v>
      </c>
      <c r="D21" s="10"/>
      <c r="H21" s="7">
        <f t="shared" si="0"/>
        <v>2.8368813351997567E-3</v>
      </c>
      <c r="I21" s="7">
        <f t="shared" si="0"/>
        <v>6.8651852005524486E-4</v>
      </c>
    </row>
    <row r="22" spans="1:17" ht="15.75" customHeight="1" x14ac:dyDescent="0.35">
      <c r="A22" s="11">
        <v>44900</v>
      </c>
      <c r="B22" s="10">
        <v>462.65</v>
      </c>
      <c r="C22" s="10">
        <v>111.77</v>
      </c>
      <c r="D22" s="10"/>
      <c r="H22" s="7">
        <f t="shared" si="0"/>
        <v>-2.9601820688595706E-2</v>
      </c>
      <c r="I22" s="7">
        <f t="shared" si="0"/>
        <v>-4.2048762534220879E-2</v>
      </c>
      <c r="O22" s="15"/>
      <c r="P22" s="15"/>
      <c r="Q22" s="15"/>
    </row>
    <row r="23" spans="1:17" ht="15.75" customHeight="1" x14ac:dyDescent="0.35">
      <c r="A23" s="10" t="s">
        <v>49</v>
      </c>
      <c r="B23" s="10">
        <v>444.65</v>
      </c>
      <c r="C23" s="10">
        <v>109.7</v>
      </c>
      <c r="D23" s="10"/>
      <c r="H23" s="7">
        <f t="shared" si="0"/>
        <v>-3.9683372849390143E-2</v>
      </c>
      <c r="I23" s="7">
        <f t="shared" si="0"/>
        <v>-1.8693821116335475E-2</v>
      </c>
    </row>
    <row r="24" spans="1:17" ht="15.75" customHeight="1" x14ac:dyDescent="0.35">
      <c r="A24" s="10" t="s">
        <v>50</v>
      </c>
      <c r="B24" s="10">
        <v>455</v>
      </c>
      <c r="C24" s="10">
        <v>110.35</v>
      </c>
      <c r="D24" s="10"/>
      <c r="H24" s="7">
        <f t="shared" si="0"/>
        <v>2.3009963105301463E-2</v>
      </c>
      <c r="I24" s="7">
        <f t="shared" si="0"/>
        <v>5.9077654215607331E-3</v>
      </c>
    </row>
    <row r="25" spans="1:17" ht="15.75" customHeight="1" x14ac:dyDescent="0.35">
      <c r="A25" s="10" t="s">
        <v>51</v>
      </c>
      <c r="B25" s="10">
        <v>467.3</v>
      </c>
      <c r="C25" s="10">
        <v>118.87</v>
      </c>
      <c r="D25" s="10"/>
      <c r="H25" s="7">
        <f t="shared" si="0"/>
        <v>2.6674030755430022E-2</v>
      </c>
      <c r="I25" s="7">
        <f t="shared" si="0"/>
        <v>7.4373326289787656E-2</v>
      </c>
    </row>
    <row r="26" spans="1:17" ht="15.75" customHeight="1" x14ac:dyDescent="0.35">
      <c r="A26" s="10" t="s">
        <v>52</v>
      </c>
      <c r="B26" s="10">
        <v>458</v>
      </c>
      <c r="C26" s="10">
        <v>118.02500000000001</v>
      </c>
      <c r="D26" s="10"/>
      <c r="H26" s="7">
        <f t="shared" si="0"/>
        <v>-2.0102265592195499E-2</v>
      </c>
      <c r="I26" s="7">
        <f t="shared" si="0"/>
        <v>-7.1339925601825527E-3</v>
      </c>
    </row>
    <row r="27" spans="1:17" ht="15.75" customHeight="1" x14ac:dyDescent="0.35">
      <c r="A27" s="10" t="s">
        <v>53</v>
      </c>
      <c r="B27" s="10">
        <v>447.5</v>
      </c>
      <c r="C27" s="10">
        <v>112.215</v>
      </c>
      <c r="D27" s="10"/>
      <c r="H27" s="7">
        <f t="shared" si="0"/>
        <v>-2.3192646399274923E-2</v>
      </c>
      <c r="I27" s="7">
        <f t="shared" si="0"/>
        <v>-5.047979243987253E-2</v>
      </c>
    </row>
    <row r="28" spans="1:17" ht="15.75" customHeight="1" x14ac:dyDescent="0.35">
      <c r="A28" s="10" t="s">
        <v>54</v>
      </c>
      <c r="B28" s="10">
        <v>462.4</v>
      </c>
      <c r="C28" s="10">
        <v>117.06</v>
      </c>
      <c r="D28" s="10"/>
      <c r="H28" s="7">
        <f t="shared" si="0"/>
        <v>3.275377964325759E-2</v>
      </c>
      <c r="I28" s="7">
        <f t="shared" si="0"/>
        <v>4.2269949870596964E-2</v>
      </c>
    </row>
    <row r="29" spans="1:17" ht="15.75" customHeight="1" x14ac:dyDescent="0.35">
      <c r="A29" s="10" t="s">
        <v>55</v>
      </c>
      <c r="B29" s="10">
        <v>460.9</v>
      </c>
      <c r="C29" s="10">
        <v>102.295</v>
      </c>
      <c r="D29" s="10"/>
      <c r="H29" s="7">
        <f t="shared" si="0"/>
        <v>-3.2492176317051313E-3</v>
      </c>
      <c r="I29" s="7">
        <f t="shared" si="0"/>
        <v>-0.13482582795528503</v>
      </c>
    </row>
    <row r="30" spans="1:17" ht="15.75" customHeight="1" x14ac:dyDescent="0.35">
      <c r="A30" s="10" t="s">
        <v>56</v>
      </c>
      <c r="B30" s="10">
        <v>462.05</v>
      </c>
      <c r="C30" s="10">
        <v>100.63500000000001</v>
      </c>
      <c r="D30" s="10"/>
      <c r="H30" s="7">
        <f t="shared" si="0"/>
        <v>2.4920106075870204E-3</v>
      </c>
      <c r="I30" s="7">
        <f t="shared" si="0"/>
        <v>-1.6360686224828679E-2</v>
      </c>
    </row>
    <row r="31" spans="1:17" ht="15.75" customHeight="1" x14ac:dyDescent="0.35">
      <c r="A31" s="10" t="s">
        <v>57</v>
      </c>
      <c r="B31" s="10">
        <v>454.1</v>
      </c>
      <c r="C31" s="10">
        <v>99.91</v>
      </c>
      <c r="D31" s="10"/>
      <c r="H31" s="7">
        <f t="shared" si="0"/>
        <v>-1.7355672230143952E-2</v>
      </c>
      <c r="I31" s="7">
        <f t="shared" si="0"/>
        <v>-7.2303289380338757E-3</v>
      </c>
    </row>
    <row r="32" spans="1:17" ht="15.75" customHeight="1" x14ac:dyDescent="0.35">
      <c r="A32" s="10" t="s">
        <v>58</v>
      </c>
      <c r="B32" s="10">
        <v>468.9</v>
      </c>
      <c r="C32" s="10">
        <v>105.2</v>
      </c>
      <c r="D32" s="10"/>
      <c r="H32" s="7">
        <f t="shared" si="0"/>
        <v>3.2072087991634975E-2</v>
      </c>
      <c r="I32" s="7">
        <f t="shared" si="0"/>
        <v>5.1593519558682369E-2</v>
      </c>
    </row>
    <row r="33" spans="1:9" ht="14.5" x14ac:dyDescent="0.35">
      <c r="A33" s="10" t="s">
        <v>59</v>
      </c>
      <c r="B33" s="10">
        <v>468.95</v>
      </c>
      <c r="C33" s="10">
        <v>104.35</v>
      </c>
      <c r="D33" s="10"/>
      <c r="H33" s="7">
        <f t="shared" si="0"/>
        <v>1.0662685940684772E-4</v>
      </c>
      <c r="I33" s="7">
        <f t="shared" si="0"/>
        <v>-8.112666780399758E-3</v>
      </c>
    </row>
    <row r="34" spans="1:9" ht="14.5" x14ac:dyDescent="0.35">
      <c r="A34" s="10" t="s">
        <v>60</v>
      </c>
      <c r="B34" s="10">
        <v>474.6</v>
      </c>
      <c r="C34" s="10">
        <v>104.745</v>
      </c>
      <c r="D34" s="10"/>
      <c r="H34" s="7">
        <f t="shared" si="0"/>
        <v>1.197619104671584E-2</v>
      </c>
      <c r="I34" s="7">
        <f t="shared" si="0"/>
        <v>3.7781914428985852E-3</v>
      </c>
    </row>
    <row r="35" spans="1:9" ht="14.5" x14ac:dyDescent="0.35">
      <c r="A35" s="10" t="s">
        <v>61</v>
      </c>
      <c r="B35" s="10">
        <v>468.1</v>
      </c>
      <c r="C35" s="10">
        <v>105.565</v>
      </c>
      <c r="D35" s="10"/>
      <c r="H35" s="7">
        <f t="shared" si="0"/>
        <v>-1.3790395695638263E-2</v>
      </c>
      <c r="I35" s="7">
        <f t="shared" si="0"/>
        <v>7.7980519739379479E-3</v>
      </c>
    </row>
    <row r="36" spans="1:9" ht="14.5" x14ac:dyDescent="0.35">
      <c r="A36" s="11">
        <v>44567</v>
      </c>
      <c r="B36" s="10">
        <v>468.3</v>
      </c>
      <c r="C36" s="10">
        <v>106.355</v>
      </c>
      <c r="D36" s="10"/>
      <c r="H36" s="7">
        <f t="shared" si="0"/>
        <v>4.2716788347116829E-4</v>
      </c>
      <c r="I36" s="7">
        <f t="shared" si="0"/>
        <v>7.4556781755676415E-3</v>
      </c>
    </row>
    <row r="37" spans="1:9" ht="14.5" x14ac:dyDescent="0.35">
      <c r="A37" s="11">
        <v>44598</v>
      </c>
      <c r="B37" s="10">
        <v>469.85</v>
      </c>
      <c r="C37" s="10">
        <v>108.155</v>
      </c>
      <c r="D37" s="10"/>
      <c r="H37" s="7">
        <f t="shared" si="0"/>
        <v>3.3043786395778657E-3</v>
      </c>
      <c r="I37" s="7">
        <f t="shared" si="0"/>
        <v>1.6782828299850939E-2</v>
      </c>
    </row>
    <row r="38" spans="1:9" ht="14.5" x14ac:dyDescent="0.35">
      <c r="A38" s="11">
        <v>44626</v>
      </c>
      <c r="B38" s="10">
        <v>464.5</v>
      </c>
      <c r="C38" s="10">
        <v>106.73</v>
      </c>
      <c r="D38" s="10"/>
      <c r="H38" s="7">
        <f t="shared" si="0"/>
        <v>-1.1451936575180812E-2</v>
      </c>
      <c r="I38" s="7">
        <f t="shared" si="0"/>
        <v>-1.3263102489591254E-2</v>
      </c>
    </row>
    <row r="39" spans="1:9" ht="14.5" x14ac:dyDescent="0.35">
      <c r="A39" s="11">
        <v>44718</v>
      </c>
      <c r="B39" s="10">
        <v>463.7</v>
      </c>
      <c r="C39" s="10">
        <v>107.81</v>
      </c>
      <c r="D39" s="10"/>
      <c r="H39" s="7">
        <f t="shared" si="0"/>
        <v>-1.7237668564780938E-3</v>
      </c>
      <c r="I39" s="7">
        <f t="shared" si="0"/>
        <v>1.0068137625152842E-2</v>
      </c>
    </row>
    <row r="40" spans="1:9" ht="14.5" x14ac:dyDescent="0.35">
      <c r="A40" s="11">
        <v>44748</v>
      </c>
      <c r="B40" s="10">
        <v>463.4</v>
      </c>
      <c r="C40" s="10">
        <v>106.85</v>
      </c>
      <c r="D40" s="10"/>
      <c r="H40" s="7">
        <f t="shared" si="0"/>
        <v>-6.4717939913935135E-4</v>
      </c>
      <c r="I40" s="7">
        <f t="shared" si="0"/>
        <v>-8.9444367858700097E-3</v>
      </c>
    </row>
    <row r="41" spans="1:9" ht="14.5" x14ac:dyDescent="0.35">
      <c r="A41" s="11">
        <v>44779</v>
      </c>
      <c r="B41" s="10">
        <v>471.3</v>
      </c>
      <c r="C41" s="10">
        <v>108.675</v>
      </c>
      <c r="D41" s="10"/>
      <c r="H41" s="7">
        <f t="shared" si="0"/>
        <v>1.6904221931409311E-2</v>
      </c>
      <c r="I41" s="7">
        <f t="shared" si="0"/>
        <v>1.6935795109699232E-2</v>
      </c>
    </row>
    <row r="42" spans="1:9" ht="14.5" x14ac:dyDescent="0.35">
      <c r="A42" s="11">
        <v>44810</v>
      </c>
      <c r="B42" s="10">
        <v>466.95</v>
      </c>
      <c r="C42" s="10">
        <v>104.485</v>
      </c>
      <c r="D42" s="10"/>
      <c r="H42" s="7">
        <f t="shared" si="0"/>
        <v>-9.2726483739583795E-3</v>
      </c>
      <c r="I42" s="7">
        <f t="shared" si="0"/>
        <v>-3.9318256442794436E-2</v>
      </c>
    </row>
    <row r="43" spans="1:9" ht="14.5" x14ac:dyDescent="0.35">
      <c r="A43" s="11">
        <v>44840</v>
      </c>
      <c r="B43" s="10">
        <v>461.85</v>
      </c>
      <c r="C43" s="10">
        <v>102.37</v>
      </c>
      <c r="D43" s="10"/>
      <c r="H43" s="7">
        <f t="shared" si="0"/>
        <v>-1.098202251710767E-2</v>
      </c>
      <c r="I43" s="7">
        <f t="shared" si="0"/>
        <v>-2.0449819500381834E-2</v>
      </c>
    </row>
    <row r="44" spans="1:9" ht="14.5" x14ac:dyDescent="0.35">
      <c r="A44" s="10" t="s">
        <v>62</v>
      </c>
      <c r="B44" s="10">
        <v>445.85</v>
      </c>
      <c r="C44" s="10">
        <v>99.194999999999993</v>
      </c>
      <c r="D44" s="10"/>
      <c r="H44" s="7">
        <f t="shared" si="0"/>
        <v>-3.5257590457730616E-2</v>
      </c>
      <c r="I44" s="7">
        <f t="shared" si="0"/>
        <v>-3.1506091136944178E-2</v>
      </c>
    </row>
    <row r="45" spans="1:9" ht="14.5" x14ac:dyDescent="0.35">
      <c r="A45" s="10" t="s">
        <v>63</v>
      </c>
      <c r="B45" s="10">
        <v>448.1</v>
      </c>
      <c r="C45" s="10">
        <v>99.614999999999995</v>
      </c>
      <c r="D45" s="10"/>
      <c r="H45" s="7">
        <f t="shared" si="0"/>
        <v>5.0338492112088837E-3</v>
      </c>
      <c r="I45" s="7">
        <f t="shared" si="0"/>
        <v>4.2251458660513049E-3</v>
      </c>
    </row>
    <row r="46" spans="1:9" ht="14.5" x14ac:dyDescent="0.35">
      <c r="A46" s="10" t="s">
        <v>64</v>
      </c>
      <c r="B46" s="10">
        <v>451.35</v>
      </c>
      <c r="C46" s="10">
        <v>95.954999999999998</v>
      </c>
      <c r="D46" s="10"/>
      <c r="H46" s="7">
        <f t="shared" si="0"/>
        <v>7.2266699520666874E-3</v>
      </c>
      <c r="I46" s="7">
        <f t="shared" si="0"/>
        <v>-3.7433424090576074E-2</v>
      </c>
    </row>
    <row r="47" spans="1:9" ht="14.5" x14ac:dyDescent="0.35">
      <c r="A47" s="10" t="s">
        <v>65</v>
      </c>
      <c r="B47" s="10">
        <v>441.6</v>
      </c>
      <c r="C47" s="10">
        <v>90.17</v>
      </c>
      <c r="D47" s="10"/>
      <c r="H47" s="7">
        <f t="shared" si="0"/>
        <v>-2.1838596781278388E-2</v>
      </c>
      <c r="I47" s="7">
        <f t="shared" si="0"/>
        <v>-6.2182554058395255E-2</v>
      </c>
    </row>
    <row r="48" spans="1:9" ht="14.5" x14ac:dyDescent="0.35">
      <c r="A48" s="10" t="s">
        <v>66</v>
      </c>
      <c r="B48" s="10">
        <v>441</v>
      </c>
      <c r="C48" s="10">
        <v>90.67</v>
      </c>
      <c r="D48" s="10"/>
      <c r="H48" s="7">
        <f t="shared" si="0"/>
        <v>-1.3596195160395954E-3</v>
      </c>
      <c r="I48" s="7">
        <f t="shared" si="0"/>
        <v>5.529764146149461E-3</v>
      </c>
    </row>
    <row r="49" spans="1:9" ht="14.5" x14ac:dyDescent="0.35">
      <c r="A49" s="10" t="s">
        <v>67</v>
      </c>
      <c r="B49" s="10">
        <v>434.7</v>
      </c>
      <c r="C49" s="10">
        <v>86.14</v>
      </c>
      <c r="D49" s="10"/>
      <c r="H49" s="7">
        <f t="shared" si="0"/>
        <v>-1.4388737452099669E-2</v>
      </c>
      <c r="I49" s="7">
        <f t="shared" si="0"/>
        <v>-5.1252662032000282E-2</v>
      </c>
    </row>
    <row r="50" spans="1:9" ht="14.5" x14ac:dyDescent="0.35">
      <c r="A50" s="10" t="s">
        <v>68</v>
      </c>
      <c r="B50" s="10">
        <v>450.75</v>
      </c>
      <c r="C50" s="10">
        <v>88.48</v>
      </c>
      <c r="D50" s="10"/>
      <c r="H50" s="7">
        <f t="shared" si="0"/>
        <v>3.6256724088680366E-2</v>
      </c>
      <c r="I50" s="7">
        <f t="shared" si="0"/>
        <v>2.6802658148060106E-2</v>
      </c>
    </row>
    <row r="51" spans="1:9" ht="14.5" x14ac:dyDescent="0.35">
      <c r="A51" s="10" t="s">
        <v>69</v>
      </c>
      <c r="B51" s="10">
        <v>447.65</v>
      </c>
      <c r="C51" s="10">
        <v>83.81</v>
      </c>
      <c r="D51" s="10"/>
      <c r="H51" s="7">
        <f t="shared" si="0"/>
        <v>-6.9011850032617335E-3</v>
      </c>
      <c r="I51" s="7">
        <f t="shared" si="0"/>
        <v>-5.422420566320988E-2</v>
      </c>
    </row>
    <row r="52" spans="1:9" ht="14.5" x14ac:dyDescent="0.35">
      <c r="A52" s="10" t="s">
        <v>70</v>
      </c>
      <c r="B52" s="10">
        <v>451.4</v>
      </c>
      <c r="C52" s="10">
        <v>84.13</v>
      </c>
      <c r="D52" s="10"/>
      <c r="H52" s="7">
        <f t="shared" si="0"/>
        <v>8.3421873032703143E-3</v>
      </c>
      <c r="I52" s="7">
        <f t="shared" si="0"/>
        <v>3.8108894519072781E-3</v>
      </c>
    </row>
    <row r="53" spans="1:9" ht="14.5" x14ac:dyDescent="0.35">
      <c r="A53" s="10" t="s">
        <v>71</v>
      </c>
      <c r="B53" s="10">
        <v>454.25</v>
      </c>
      <c r="C53" s="10">
        <v>85.284999999999997</v>
      </c>
      <c r="D53" s="10"/>
      <c r="H53" s="7">
        <f t="shared" si="0"/>
        <v>6.2938428928453844E-3</v>
      </c>
      <c r="I53" s="7">
        <f t="shared" si="0"/>
        <v>1.3635367530113986E-2</v>
      </c>
    </row>
    <row r="54" spans="1:9" ht="14.5" x14ac:dyDescent="0.35">
      <c r="A54" s="10" t="s">
        <v>72</v>
      </c>
      <c r="B54" s="10">
        <v>461.2</v>
      </c>
      <c r="C54" s="10">
        <v>86.784999999999997</v>
      </c>
      <c r="D54" s="10"/>
      <c r="H54" s="7">
        <f t="shared" si="0"/>
        <v>1.5184081118623466E-2</v>
      </c>
      <c r="I54" s="7">
        <f t="shared" si="0"/>
        <v>1.7435206580008633E-2</v>
      </c>
    </row>
    <row r="55" spans="1:9" ht="14.5" x14ac:dyDescent="0.35">
      <c r="A55" s="10" t="s">
        <v>73</v>
      </c>
      <c r="B55" s="10">
        <v>464.25</v>
      </c>
      <c r="C55" s="10">
        <v>87.89</v>
      </c>
      <c r="D55" s="10"/>
      <c r="H55" s="7">
        <f t="shared" si="0"/>
        <v>6.5914118379112397E-3</v>
      </c>
      <c r="I55" s="7">
        <f t="shared" si="0"/>
        <v>1.2652236903709022E-2</v>
      </c>
    </row>
    <row r="56" spans="1:9" ht="14.5" x14ac:dyDescent="0.35">
      <c r="A56" s="10" t="s">
        <v>74</v>
      </c>
      <c r="B56" s="10">
        <v>459.1</v>
      </c>
      <c r="C56" s="10">
        <v>88.16</v>
      </c>
      <c r="D56" s="10"/>
      <c r="H56" s="7">
        <f t="shared" si="0"/>
        <v>-1.1155148977638798E-2</v>
      </c>
      <c r="I56" s="7">
        <f t="shared" si="0"/>
        <v>3.0673128280505496E-3</v>
      </c>
    </row>
    <row r="57" spans="1:9" ht="14.5" x14ac:dyDescent="0.35">
      <c r="A57" s="10" t="s">
        <v>75</v>
      </c>
      <c r="B57" s="10">
        <v>465.9</v>
      </c>
      <c r="C57" s="10">
        <v>86.704999999999998</v>
      </c>
      <c r="D57" s="10"/>
      <c r="H57" s="7">
        <f t="shared" si="0"/>
        <v>1.4702967567574653E-2</v>
      </c>
      <c r="I57" s="7">
        <f t="shared" si="0"/>
        <v>-1.6641793154091682E-2</v>
      </c>
    </row>
    <row r="58" spans="1:9" ht="14.5" x14ac:dyDescent="0.35">
      <c r="A58" s="11">
        <v>44568</v>
      </c>
      <c r="B58" s="10">
        <v>466.85</v>
      </c>
      <c r="C58" s="10">
        <v>87.284999999999997</v>
      </c>
      <c r="D58" s="10"/>
      <c r="H58" s="7">
        <f t="shared" si="0"/>
        <v>2.036988107184003E-3</v>
      </c>
      <c r="I58" s="7">
        <f t="shared" si="0"/>
        <v>6.6670745262304076E-3</v>
      </c>
    </row>
    <row r="59" spans="1:9" ht="14.5" x14ac:dyDescent="0.35">
      <c r="A59" s="11">
        <v>44658</v>
      </c>
      <c r="B59" s="10">
        <v>473.45</v>
      </c>
      <c r="C59" s="10">
        <v>85.454999999999998</v>
      </c>
      <c r="D59" s="10"/>
      <c r="H59" s="7">
        <f t="shared" si="0"/>
        <v>1.4038303499574158E-2</v>
      </c>
      <c r="I59" s="7">
        <f t="shared" si="0"/>
        <v>-2.1188705176274386E-2</v>
      </c>
    </row>
    <row r="60" spans="1:9" ht="14.5" x14ac:dyDescent="0.35">
      <c r="A60" s="11">
        <v>44688</v>
      </c>
      <c r="B60" s="10">
        <v>472.15</v>
      </c>
      <c r="C60" s="10">
        <v>86.015000000000001</v>
      </c>
      <c r="D60" s="10"/>
      <c r="H60" s="7">
        <f t="shared" si="0"/>
        <v>-2.7495787204309379E-3</v>
      </c>
      <c r="I60" s="7">
        <f t="shared" si="0"/>
        <v>6.531778048533902E-3</v>
      </c>
    </row>
    <row r="61" spans="1:9" ht="14.5" x14ac:dyDescent="0.35">
      <c r="A61" s="11">
        <v>44719</v>
      </c>
      <c r="B61" s="10">
        <v>479.95</v>
      </c>
      <c r="C61" s="10">
        <v>85.814999999999998</v>
      </c>
      <c r="D61" s="10"/>
      <c r="H61" s="7">
        <f t="shared" si="0"/>
        <v>1.6385200100467755E-2</v>
      </c>
      <c r="I61" s="7">
        <f t="shared" si="0"/>
        <v>-2.3278832604007728E-3</v>
      </c>
    </row>
    <row r="62" spans="1:9" ht="14.5" x14ac:dyDescent="0.35">
      <c r="A62" s="11">
        <v>44749</v>
      </c>
      <c r="B62" s="10">
        <v>486.75</v>
      </c>
      <c r="C62" s="10">
        <v>90</v>
      </c>
      <c r="D62" s="10"/>
      <c r="H62" s="7">
        <f t="shared" si="0"/>
        <v>1.4068712442763054E-2</v>
      </c>
      <c r="I62" s="7">
        <f t="shared" si="0"/>
        <v>4.7615853941663296E-2</v>
      </c>
    </row>
    <row r="63" spans="1:9" ht="14.5" x14ac:dyDescent="0.35">
      <c r="A63" s="11">
        <v>44780</v>
      </c>
      <c r="B63" s="10">
        <v>488.55</v>
      </c>
      <c r="C63" s="10">
        <v>88.59</v>
      </c>
      <c r="D63" s="10"/>
      <c r="H63" s="7">
        <f t="shared" si="0"/>
        <v>3.6911761380431641E-3</v>
      </c>
      <c r="I63" s="7">
        <f t="shared" si="0"/>
        <v>-1.5790685906324015E-2</v>
      </c>
    </row>
    <row r="64" spans="1:9" ht="14.5" x14ac:dyDescent="0.35">
      <c r="A64" s="11">
        <v>44872</v>
      </c>
      <c r="B64" s="10">
        <v>488.2</v>
      </c>
      <c r="C64" s="10">
        <v>91.275000000000006</v>
      </c>
      <c r="D64" s="10"/>
      <c r="H64" s="7">
        <f t="shared" si="0"/>
        <v>-7.166624314925038E-4</v>
      </c>
      <c r="I64" s="7">
        <f t="shared" si="0"/>
        <v>2.9857943117759626E-2</v>
      </c>
    </row>
    <row r="65" spans="1:9" ht="14.5" x14ac:dyDescent="0.35">
      <c r="A65" s="11">
        <v>44902</v>
      </c>
      <c r="B65" s="10">
        <v>484.95</v>
      </c>
      <c r="C65" s="10">
        <v>90.21</v>
      </c>
      <c r="D65" s="10"/>
      <c r="H65" s="7">
        <f t="shared" si="0"/>
        <v>-6.6793651193079537E-3</v>
      </c>
      <c r="I65" s="7">
        <f t="shared" si="0"/>
        <v>-1.1736641873153257E-2</v>
      </c>
    </row>
    <row r="66" spans="1:9" ht="14.5" x14ac:dyDescent="0.35">
      <c r="A66" s="10" t="s">
        <v>76</v>
      </c>
      <c r="B66" s="10">
        <v>486.5</v>
      </c>
      <c r="C66" s="10">
        <v>90.484999999999999</v>
      </c>
      <c r="D66" s="10"/>
      <c r="H66" s="7">
        <f t="shared" si="0"/>
        <v>3.1911087865078877E-3</v>
      </c>
      <c r="I66" s="7">
        <f t="shared" si="0"/>
        <v>3.0438054436171189E-3</v>
      </c>
    </row>
    <row r="67" spans="1:9" ht="14.5" x14ac:dyDescent="0.35">
      <c r="A67" s="10" t="s">
        <v>77</v>
      </c>
      <c r="B67" s="10">
        <v>479.35</v>
      </c>
      <c r="C67" s="10">
        <v>90.8</v>
      </c>
      <c r="D67" s="10"/>
      <c r="H67" s="7">
        <f t="shared" si="0"/>
        <v>-1.4805882103054065E-2</v>
      </c>
      <c r="I67" s="7">
        <f t="shared" si="0"/>
        <v>3.4751944950832249E-3</v>
      </c>
    </row>
    <row r="68" spans="1:9" ht="14.5" x14ac:dyDescent="0.35">
      <c r="A68" s="10" t="s">
        <v>78</v>
      </c>
      <c r="B68" s="10">
        <v>479.1</v>
      </c>
      <c r="C68" s="10">
        <v>88.38</v>
      </c>
      <c r="D68" s="10"/>
      <c r="H68" s="7">
        <f t="shared" si="0"/>
        <v>-5.2167563392911806E-4</v>
      </c>
      <c r="I68" s="7">
        <f t="shared" si="0"/>
        <v>-2.7013585904653772E-2</v>
      </c>
    </row>
    <row r="69" spans="1:9" ht="14.5" x14ac:dyDescent="0.35">
      <c r="A69" s="10" t="s">
        <v>79</v>
      </c>
      <c r="B69" s="10">
        <v>490.3</v>
      </c>
      <c r="C69" s="10">
        <v>90.43</v>
      </c>
      <c r="D69" s="10"/>
      <c r="H69" s="7">
        <f t="shared" si="0"/>
        <v>2.3108104768111013E-2</v>
      </c>
      <c r="I69" s="7">
        <f t="shared" si="0"/>
        <v>2.2930371049795058E-2</v>
      </c>
    </row>
    <row r="70" spans="1:9" ht="14.5" x14ac:dyDescent="0.35">
      <c r="A70" s="10" t="s">
        <v>80</v>
      </c>
      <c r="B70" s="10">
        <v>497.95</v>
      </c>
      <c r="C70" s="10">
        <v>91.944999999999993</v>
      </c>
      <c r="D70" s="10"/>
      <c r="H70" s="7">
        <f t="shared" si="0"/>
        <v>1.548222172046095E-2</v>
      </c>
      <c r="I70" s="7">
        <f t="shared" si="0"/>
        <v>1.661450144042757E-2</v>
      </c>
    </row>
    <row r="71" spans="1:9" ht="14.5" x14ac:dyDescent="0.35">
      <c r="A71" s="10" t="s">
        <v>81</v>
      </c>
      <c r="B71" s="10">
        <v>508.6</v>
      </c>
      <c r="C71" s="10">
        <v>92.844999999999999</v>
      </c>
      <c r="D71" s="10"/>
      <c r="H71" s="7">
        <f t="shared" si="0"/>
        <v>2.1162182610370815E-2</v>
      </c>
      <c r="I71" s="7">
        <f t="shared" si="0"/>
        <v>9.7408638597424688E-3</v>
      </c>
    </row>
    <row r="72" spans="1:9" ht="14.5" x14ac:dyDescent="0.35">
      <c r="A72" s="10" t="s">
        <v>82</v>
      </c>
      <c r="B72" s="10">
        <v>512.04999999999995</v>
      </c>
      <c r="C72" s="10">
        <v>93.43</v>
      </c>
      <c r="D72" s="10"/>
      <c r="H72" s="7">
        <f t="shared" si="0"/>
        <v>6.760423533427139E-3</v>
      </c>
      <c r="I72" s="7">
        <f t="shared" si="0"/>
        <v>6.281056752305429E-3</v>
      </c>
    </row>
    <row r="73" spans="1:9" ht="14.5" x14ac:dyDescent="0.35">
      <c r="A73" s="10" t="s">
        <v>83</v>
      </c>
      <c r="B73" s="10">
        <v>513.70000000000005</v>
      </c>
      <c r="C73" s="10">
        <v>93.605000000000004</v>
      </c>
      <c r="D73" s="10"/>
      <c r="H73" s="7">
        <f t="shared" si="0"/>
        <v>3.2171609517757638E-3</v>
      </c>
      <c r="I73" s="7">
        <f t="shared" si="0"/>
        <v>1.8713080553674581E-3</v>
      </c>
    </row>
    <row r="74" spans="1:9" ht="14.5" x14ac:dyDescent="0.35">
      <c r="A74" s="10" t="s">
        <v>84</v>
      </c>
      <c r="B74" s="10">
        <v>517.79999999999995</v>
      </c>
      <c r="C74" s="10">
        <v>96.07</v>
      </c>
      <c r="D74" s="10"/>
      <c r="H74" s="7">
        <f t="shared" si="0"/>
        <v>7.949629844214991E-3</v>
      </c>
      <c r="I74" s="7">
        <f t="shared" si="0"/>
        <v>2.5993291561415242E-2</v>
      </c>
    </row>
    <row r="75" spans="1:9" ht="14.5" x14ac:dyDescent="0.35">
      <c r="A75" s="10" t="s">
        <v>85</v>
      </c>
      <c r="B75" s="10">
        <v>514.20000000000005</v>
      </c>
      <c r="C75" s="10">
        <v>94.95</v>
      </c>
      <c r="D75" s="10"/>
      <c r="H75" s="7">
        <f t="shared" si="0"/>
        <v>-6.9767724856479802E-3</v>
      </c>
      <c r="I75" s="7">
        <f t="shared" si="0"/>
        <v>-1.1726655163352116E-2</v>
      </c>
    </row>
    <row r="76" spans="1:9" ht="14.5" x14ac:dyDescent="0.35">
      <c r="A76" s="10" t="s">
        <v>86</v>
      </c>
      <c r="B76" s="10">
        <v>528.20000000000005</v>
      </c>
      <c r="C76" s="10">
        <v>95.94</v>
      </c>
      <c r="D76" s="10"/>
      <c r="H76" s="7">
        <f t="shared" si="0"/>
        <v>2.6862705031242825E-2</v>
      </c>
      <c r="I76" s="7">
        <f t="shared" si="0"/>
        <v>1.0372558815622976E-2</v>
      </c>
    </row>
    <row r="77" spans="1:9" ht="14.5" x14ac:dyDescent="0.35">
      <c r="A77" s="10" t="s">
        <v>87</v>
      </c>
      <c r="B77" s="10">
        <v>532.45000000000005</v>
      </c>
      <c r="C77" s="10">
        <v>100.35</v>
      </c>
      <c r="D77" s="10"/>
      <c r="H77" s="7">
        <f t="shared" si="0"/>
        <v>8.0139965983610072E-3</v>
      </c>
      <c r="I77" s="7">
        <f t="shared" si="0"/>
        <v>4.4941079168429356E-2</v>
      </c>
    </row>
    <row r="78" spans="1:9" ht="14.5" x14ac:dyDescent="0.35">
      <c r="A78" s="10" t="s">
        <v>88</v>
      </c>
      <c r="B78" s="10">
        <v>528.35</v>
      </c>
      <c r="C78" s="10">
        <v>107.6</v>
      </c>
      <c r="D78" s="10"/>
      <c r="H78" s="7">
        <f t="shared" si="0"/>
        <v>-7.7300535743530571E-3</v>
      </c>
      <c r="I78" s="7">
        <f t="shared" si="0"/>
        <v>6.9756572485336898E-2</v>
      </c>
    </row>
    <row r="79" spans="1:9" ht="14.5" x14ac:dyDescent="0.35">
      <c r="A79" s="11">
        <v>44569</v>
      </c>
      <c r="B79" s="10">
        <v>533.75</v>
      </c>
      <c r="C79" s="10">
        <v>108.25</v>
      </c>
      <c r="D79" s="10"/>
      <c r="H79" s="7">
        <f t="shared" si="0"/>
        <v>1.0168621655794484E-2</v>
      </c>
      <c r="I79" s="7">
        <f t="shared" si="0"/>
        <v>6.0227191549152475E-3</v>
      </c>
    </row>
    <row r="80" spans="1:9" ht="14.5" x14ac:dyDescent="0.35">
      <c r="A80" s="11">
        <v>44600</v>
      </c>
      <c r="B80" s="10">
        <v>542.1</v>
      </c>
      <c r="C80" s="10">
        <v>107</v>
      </c>
      <c r="D80" s="10"/>
      <c r="H80" s="7">
        <f t="shared" si="0"/>
        <v>1.5522921723458243E-2</v>
      </c>
      <c r="I80" s="7">
        <f t="shared" si="0"/>
        <v>-1.1614532420693002E-2</v>
      </c>
    </row>
    <row r="81" spans="1:9" ht="14.5" x14ac:dyDescent="0.35">
      <c r="A81" s="11">
        <v>44628</v>
      </c>
      <c r="B81" s="10">
        <v>540.85</v>
      </c>
      <c r="C81" s="10">
        <v>107.05</v>
      </c>
      <c r="D81" s="10"/>
      <c r="H81" s="7">
        <f t="shared" si="0"/>
        <v>-2.3085101899939196E-3</v>
      </c>
      <c r="I81" s="7">
        <f t="shared" si="0"/>
        <v>4.6718057378552445E-4</v>
      </c>
    </row>
    <row r="82" spans="1:9" ht="14.5" x14ac:dyDescent="0.35">
      <c r="A82" s="11">
        <v>44659</v>
      </c>
      <c r="B82" s="10">
        <v>533.25</v>
      </c>
      <c r="C82" s="10">
        <v>107.7</v>
      </c>
      <c r="D82" s="10"/>
      <c r="H82" s="7">
        <f t="shared" si="0"/>
        <v>-1.4151618724838666E-2</v>
      </c>
      <c r="I82" s="7">
        <f t="shared" si="0"/>
        <v>6.0535691266511565E-3</v>
      </c>
    </row>
    <row r="83" spans="1:9" ht="14.5" x14ac:dyDescent="0.35">
      <c r="A83" s="11">
        <v>44689</v>
      </c>
      <c r="B83" s="10">
        <v>531.04999999999995</v>
      </c>
      <c r="C83" s="10">
        <v>107.35</v>
      </c>
      <c r="D83" s="10"/>
      <c r="H83" s="7">
        <f t="shared" si="0"/>
        <v>-4.1341785839114241E-3</v>
      </c>
      <c r="I83" s="7">
        <f t="shared" si="0"/>
        <v>-3.2550598375528702E-3</v>
      </c>
    </row>
    <row r="84" spans="1:9" ht="14.5" x14ac:dyDescent="0.35">
      <c r="A84" s="11">
        <v>44781</v>
      </c>
      <c r="B84" s="10">
        <v>520.4</v>
      </c>
      <c r="C84" s="10">
        <v>107.2</v>
      </c>
      <c r="D84" s="10"/>
      <c r="H84" s="7">
        <f t="shared" si="0"/>
        <v>-2.0258432129198402E-2</v>
      </c>
      <c r="I84" s="7">
        <f t="shared" si="0"/>
        <v>-1.3982756880882895E-3</v>
      </c>
    </row>
    <row r="85" spans="1:9" ht="14.5" x14ac:dyDescent="0.35">
      <c r="A85" s="11">
        <v>44842</v>
      </c>
      <c r="B85" s="10">
        <v>514.70000000000005</v>
      </c>
      <c r="C85" s="10">
        <v>109.2</v>
      </c>
      <c r="D85" s="10"/>
      <c r="H85" s="7">
        <f t="shared" si="0"/>
        <v>-1.1013539979641244E-2</v>
      </c>
      <c r="I85" s="7">
        <f t="shared" si="0"/>
        <v>1.8484814674103161E-2</v>
      </c>
    </row>
    <row r="86" spans="1:9" ht="14.5" x14ac:dyDescent="0.35">
      <c r="A86" s="11">
        <v>44873</v>
      </c>
      <c r="B86" s="10">
        <v>524.75</v>
      </c>
      <c r="C86" s="10">
        <v>109.1</v>
      </c>
      <c r="D86" s="10"/>
      <c r="H86" s="7">
        <f t="shared" si="0"/>
        <v>1.933775204203339E-2</v>
      </c>
      <c r="I86" s="7">
        <f t="shared" si="0"/>
        <v>-9.1617047177964075E-4</v>
      </c>
    </row>
    <row r="87" spans="1:9" ht="14.5" x14ac:dyDescent="0.35">
      <c r="A87" s="11">
        <v>44903</v>
      </c>
      <c r="B87" s="10">
        <v>530.70000000000005</v>
      </c>
      <c r="C87" s="10">
        <v>112.65</v>
      </c>
      <c r="D87" s="10"/>
      <c r="H87" s="7">
        <f t="shared" si="0"/>
        <v>1.127493113310706E-2</v>
      </c>
      <c r="I87" s="7">
        <f t="shared" si="0"/>
        <v>3.2020774039228497E-2</v>
      </c>
    </row>
    <row r="88" spans="1:9" ht="14.5" x14ac:dyDescent="0.35">
      <c r="A88" s="10" t="s">
        <v>89</v>
      </c>
      <c r="B88" s="10">
        <v>525.95000000000005</v>
      </c>
      <c r="C88" s="10">
        <v>113</v>
      </c>
      <c r="D88" s="10"/>
      <c r="H88" s="7">
        <f t="shared" si="0"/>
        <v>-8.9907386485662075E-3</v>
      </c>
      <c r="I88" s="7">
        <f t="shared" si="0"/>
        <v>3.102151834087046E-3</v>
      </c>
    </row>
    <row r="89" spans="1:9" ht="14.5" x14ac:dyDescent="0.35">
      <c r="A89" s="10" t="s">
        <v>90</v>
      </c>
      <c r="B89" s="10">
        <v>528.15</v>
      </c>
      <c r="C89" s="10">
        <v>112.5</v>
      </c>
      <c r="D89" s="10"/>
      <c r="H89" s="7">
        <f t="shared" si="0"/>
        <v>4.1741830838880386E-3</v>
      </c>
      <c r="I89" s="7">
        <f t="shared" si="0"/>
        <v>-4.4345970678657531E-3</v>
      </c>
    </row>
    <row r="90" spans="1:9" ht="14.5" x14ac:dyDescent="0.35">
      <c r="A90" s="10" t="s">
        <v>91</v>
      </c>
      <c r="B90" s="10">
        <v>532.35</v>
      </c>
      <c r="C90" s="10">
        <v>112.55</v>
      </c>
      <c r="D90" s="10"/>
      <c r="H90" s="7">
        <f t="shared" si="0"/>
        <v>7.9208334914440577E-3</v>
      </c>
      <c r="I90" s="7">
        <f t="shared" si="0"/>
        <v>4.4434570826645131E-4</v>
      </c>
    </row>
    <row r="91" spans="1:9" ht="14.5" x14ac:dyDescent="0.35">
      <c r="A91" s="10" t="s">
        <v>92</v>
      </c>
      <c r="B91" s="10">
        <v>520.35</v>
      </c>
      <c r="C91" s="10">
        <v>110.05</v>
      </c>
      <c r="D91" s="10"/>
      <c r="H91" s="7">
        <f t="shared" si="0"/>
        <v>-2.2799505676746747E-2</v>
      </c>
      <c r="I91" s="7">
        <f t="shared" si="0"/>
        <v>-2.2462759380270546E-2</v>
      </c>
    </row>
    <row r="92" spans="1:9" ht="14.5" x14ac:dyDescent="0.35">
      <c r="A92" s="10" t="s">
        <v>93</v>
      </c>
      <c r="B92" s="10">
        <v>511.3</v>
      </c>
      <c r="C92" s="10">
        <v>105.05</v>
      </c>
      <c r="D92" s="10"/>
      <c r="H92" s="7">
        <f t="shared" si="0"/>
        <v>-1.7545159997914898E-2</v>
      </c>
      <c r="I92" s="7">
        <f t="shared" si="0"/>
        <v>-4.6498380681461227E-2</v>
      </c>
    </row>
    <row r="93" spans="1:9" ht="14.5" x14ac:dyDescent="0.35">
      <c r="A93" s="10" t="s">
        <v>94</v>
      </c>
      <c r="B93" s="10">
        <v>521.9</v>
      </c>
      <c r="C93" s="10">
        <v>107.6</v>
      </c>
      <c r="D93" s="10"/>
      <c r="H93" s="7">
        <f t="shared" si="0"/>
        <v>2.0519496563414018E-2</v>
      </c>
      <c r="I93" s="7">
        <f t="shared" si="0"/>
        <v>2.3984220436674489E-2</v>
      </c>
    </row>
    <row r="94" spans="1:9" ht="14.5" x14ac:dyDescent="0.35">
      <c r="A94" s="10" t="s">
        <v>95</v>
      </c>
      <c r="B94" s="10">
        <v>519.29999999999995</v>
      </c>
      <c r="C94" s="10">
        <v>106.55</v>
      </c>
      <c r="D94" s="10"/>
      <c r="H94" s="7">
        <f t="shared" si="0"/>
        <v>-4.9942477990942849E-3</v>
      </c>
      <c r="I94" s="7">
        <f t="shared" si="0"/>
        <v>-9.8062891830578581E-3</v>
      </c>
    </row>
    <row r="95" spans="1:9" ht="14.5" x14ac:dyDescent="0.35">
      <c r="A95" s="10" t="s">
        <v>96</v>
      </c>
      <c r="B95" s="10">
        <v>520.4</v>
      </c>
      <c r="C95" s="10">
        <v>106.25</v>
      </c>
      <c r="D95" s="10"/>
      <c r="H95" s="7">
        <f t="shared" si="0"/>
        <v>2.115995788076907E-3</v>
      </c>
      <c r="I95" s="7">
        <f t="shared" si="0"/>
        <v>-2.8195507400999415E-3</v>
      </c>
    </row>
    <row r="96" spans="1:9" ht="14.5" x14ac:dyDescent="0.35">
      <c r="A96" s="10" t="s">
        <v>97</v>
      </c>
      <c r="B96" s="10">
        <v>523.79999999999995</v>
      </c>
      <c r="C96" s="10">
        <v>107.35</v>
      </c>
      <c r="D96" s="10"/>
      <c r="H96" s="7">
        <f t="shared" si="0"/>
        <v>6.5121854352613437E-3</v>
      </c>
      <c r="I96" s="7">
        <f t="shared" si="0"/>
        <v>1.0299716520263692E-2</v>
      </c>
    </row>
    <row r="97" spans="1:9" ht="14.5" x14ac:dyDescent="0.35">
      <c r="A97" s="10" t="s">
        <v>98</v>
      </c>
      <c r="B97" s="10">
        <v>514.85</v>
      </c>
      <c r="C97" s="10">
        <v>104.85</v>
      </c>
      <c r="D97" s="10"/>
      <c r="H97" s="7">
        <f t="shared" si="0"/>
        <v>-1.7234335970851555E-2</v>
      </c>
      <c r="I97" s="7">
        <f t="shared" si="0"/>
        <v>-2.3563766976861137E-2</v>
      </c>
    </row>
    <row r="98" spans="1:9" ht="14.5" x14ac:dyDescent="0.35">
      <c r="A98" s="10" t="s">
        <v>99</v>
      </c>
      <c r="B98" s="10">
        <v>531.25</v>
      </c>
      <c r="C98" s="10">
        <v>108.3</v>
      </c>
      <c r="D98" s="10"/>
      <c r="H98" s="7">
        <f t="shared" si="0"/>
        <v>3.1357124135866735E-2</v>
      </c>
      <c r="I98" s="7">
        <f t="shared" si="0"/>
        <v>3.2374396659016043E-2</v>
      </c>
    </row>
    <row r="99" spans="1:9" ht="14.5" x14ac:dyDescent="0.35">
      <c r="A99" s="11">
        <v>44570</v>
      </c>
      <c r="B99" s="10">
        <v>533.29999999999995</v>
      </c>
      <c r="C99" s="10">
        <v>106.4</v>
      </c>
      <c r="D99" s="10"/>
      <c r="H99" s="7">
        <f t="shared" si="0"/>
        <v>3.8513973679298731E-3</v>
      </c>
      <c r="I99" s="7">
        <f t="shared" si="0"/>
        <v>-1.769957709940086E-2</v>
      </c>
    </row>
    <row r="100" spans="1:9" ht="14.5" x14ac:dyDescent="0.35">
      <c r="A100" s="11">
        <v>44601</v>
      </c>
      <c r="B100" s="10">
        <v>536.70000000000005</v>
      </c>
      <c r="C100" s="10">
        <v>105.5</v>
      </c>
      <c r="D100" s="10"/>
      <c r="H100" s="7">
        <f t="shared" si="0"/>
        <v>6.3551615762267172E-3</v>
      </c>
      <c r="I100" s="7">
        <f t="shared" si="0"/>
        <v>-8.4946239914228568E-3</v>
      </c>
    </row>
    <row r="101" spans="1:9" ht="14.5" x14ac:dyDescent="0.35">
      <c r="A101" s="11">
        <v>44690</v>
      </c>
      <c r="B101" s="10">
        <v>538.9</v>
      </c>
      <c r="C101" s="10">
        <v>106.9</v>
      </c>
      <c r="D101" s="10"/>
      <c r="H101" s="7">
        <f t="shared" si="0"/>
        <v>4.090745756667769E-3</v>
      </c>
      <c r="I101" s="7">
        <f t="shared" si="0"/>
        <v>1.3182865114878491E-2</v>
      </c>
    </row>
    <row r="102" spans="1:9" ht="14.5" x14ac:dyDescent="0.35">
      <c r="A102" s="11">
        <v>44721</v>
      </c>
      <c r="B102" s="10">
        <v>537.79999999999995</v>
      </c>
      <c r="C102" s="10">
        <v>108.6</v>
      </c>
      <c r="D102" s="10"/>
      <c r="H102" s="7">
        <f t="shared" si="0"/>
        <v>-2.0432811046867489E-3</v>
      </c>
      <c r="I102" s="7">
        <f t="shared" si="0"/>
        <v>1.577758946883533E-2</v>
      </c>
    </row>
    <row r="103" spans="1:9" ht="14.5" x14ac:dyDescent="0.35">
      <c r="A103" s="11">
        <v>44751</v>
      </c>
      <c r="B103" s="10">
        <v>532.85</v>
      </c>
      <c r="C103" s="10">
        <v>107.6</v>
      </c>
      <c r="D103" s="10"/>
      <c r="H103" s="7">
        <f t="shared" si="0"/>
        <v>-9.2467851677990355E-3</v>
      </c>
      <c r="I103" s="7">
        <f t="shared" si="0"/>
        <v>-9.2507597721509984E-3</v>
      </c>
    </row>
    <row r="104" spans="1:9" ht="14.5" x14ac:dyDescent="0.35">
      <c r="A104" s="11">
        <v>44782</v>
      </c>
      <c r="B104" s="10">
        <v>544.65</v>
      </c>
      <c r="C104" s="10">
        <v>105.85</v>
      </c>
      <c r="D104" s="10"/>
      <c r="H104" s="7">
        <f t="shared" si="0"/>
        <v>2.1903427861489168E-2</v>
      </c>
      <c r="I104" s="7">
        <f t="shared" si="0"/>
        <v>-1.639765014680989E-2</v>
      </c>
    </row>
    <row r="105" spans="1:9" ht="14.5" x14ac:dyDescent="0.35">
      <c r="A105" s="11">
        <v>44813</v>
      </c>
      <c r="B105" s="10">
        <v>553.35</v>
      </c>
      <c r="C105" s="10">
        <v>105.7</v>
      </c>
      <c r="D105" s="10"/>
      <c r="H105" s="7">
        <f t="shared" si="0"/>
        <v>1.5847326182339899E-2</v>
      </c>
      <c r="I105" s="7">
        <f t="shared" si="0"/>
        <v>-1.4181047046821381E-3</v>
      </c>
    </row>
    <row r="106" spans="1:9" ht="14.5" x14ac:dyDescent="0.35">
      <c r="A106" s="11">
        <v>44904</v>
      </c>
      <c r="B106" s="10">
        <v>554.9</v>
      </c>
      <c r="C106" s="10">
        <v>107.75</v>
      </c>
      <c r="D106" s="10"/>
      <c r="H106" s="7">
        <f t="shared" si="0"/>
        <v>2.7972046210612191E-3</v>
      </c>
      <c r="I106" s="7">
        <f t="shared" si="0"/>
        <v>1.9208836107665113E-2</v>
      </c>
    </row>
    <row r="107" spans="1:9" ht="14.5" x14ac:dyDescent="0.35">
      <c r="A107" s="10" t="s">
        <v>100</v>
      </c>
      <c r="B107" s="10">
        <v>558</v>
      </c>
      <c r="C107" s="10">
        <v>107.75</v>
      </c>
      <c r="D107" s="10"/>
      <c r="H107" s="7">
        <f t="shared" si="0"/>
        <v>5.5710450494554295E-3</v>
      </c>
      <c r="I107" s="7">
        <f t="shared" si="0"/>
        <v>0</v>
      </c>
    </row>
    <row r="108" spans="1:9" ht="14.5" x14ac:dyDescent="0.35">
      <c r="A108" s="10" t="s">
        <v>101</v>
      </c>
      <c r="B108" s="10">
        <v>571.75</v>
      </c>
      <c r="C108" s="10">
        <v>109.15</v>
      </c>
      <c r="D108" s="10"/>
      <c r="H108" s="7">
        <f t="shared" si="0"/>
        <v>2.4342870521579525E-2</v>
      </c>
      <c r="I108" s="7">
        <f t="shared" si="0"/>
        <v>1.2909354012095722E-2</v>
      </c>
    </row>
    <row r="109" spans="1:9" ht="14.5" x14ac:dyDescent="0.35">
      <c r="A109" s="10" t="s">
        <v>102</v>
      </c>
      <c r="B109" s="10">
        <v>572.15</v>
      </c>
      <c r="C109" s="10">
        <v>107</v>
      </c>
      <c r="D109" s="10"/>
      <c r="H109" s="7">
        <f t="shared" si="0"/>
        <v>6.9936186083317559E-4</v>
      </c>
      <c r="I109" s="7">
        <f t="shared" si="0"/>
        <v>-1.9894248534046803E-2</v>
      </c>
    </row>
    <row r="110" spans="1:9" ht="14.5" x14ac:dyDescent="0.35">
      <c r="A110" s="10" t="s">
        <v>103</v>
      </c>
      <c r="B110" s="10">
        <v>561.79999999999995</v>
      </c>
      <c r="C110" s="10">
        <v>105.7</v>
      </c>
      <c r="D110" s="10"/>
      <c r="H110" s="7">
        <f t="shared" si="0"/>
        <v>-1.8255280093580472E-2</v>
      </c>
      <c r="I110" s="7">
        <f t="shared" si="0"/>
        <v>-1.2223941585714146E-2</v>
      </c>
    </row>
    <row r="111" spans="1:9" ht="14.5" x14ac:dyDescent="0.35">
      <c r="A111" s="10" t="s">
        <v>104</v>
      </c>
      <c r="B111" s="10">
        <v>572.25</v>
      </c>
      <c r="C111" s="10">
        <v>103.1</v>
      </c>
      <c r="D111" s="10"/>
      <c r="H111" s="7">
        <f t="shared" si="0"/>
        <v>1.8430044162532945E-2</v>
      </c>
      <c r="I111" s="7">
        <f t="shared" si="0"/>
        <v>-2.4905501853277789E-2</v>
      </c>
    </row>
    <row r="112" spans="1:9" ht="14.5" x14ac:dyDescent="0.35">
      <c r="A112" s="10" t="s">
        <v>105</v>
      </c>
      <c r="B112" s="10">
        <v>574.04999999999995</v>
      </c>
      <c r="C112" s="10">
        <v>105.8</v>
      </c>
      <c r="D112" s="10"/>
      <c r="H112" s="7">
        <f t="shared" si="0"/>
        <v>3.1405417071448502E-3</v>
      </c>
      <c r="I112" s="7">
        <f t="shared" si="0"/>
        <v>2.5851128401284892E-2</v>
      </c>
    </row>
    <row r="113" spans="1:9" ht="14.5" x14ac:dyDescent="0.35">
      <c r="A113" s="10" t="s">
        <v>106</v>
      </c>
      <c r="B113" s="10">
        <v>569.70000000000005</v>
      </c>
      <c r="C113" s="10">
        <v>104.45</v>
      </c>
      <c r="D113" s="10"/>
      <c r="H113" s="7">
        <f t="shared" si="0"/>
        <v>-7.6065940534709416E-3</v>
      </c>
      <c r="I113" s="7">
        <f t="shared" si="0"/>
        <v>-1.2842031421624168E-2</v>
      </c>
    </row>
    <row r="114" spans="1:9" ht="14.5" x14ac:dyDescent="0.35">
      <c r="A114" s="10" t="s">
        <v>107</v>
      </c>
      <c r="B114" s="10">
        <v>567.29999999999995</v>
      </c>
      <c r="C114" s="10">
        <v>103.6</v>
      </c>
      <c r="D114" s="10"/>
      <c r="H114" s="7">
        <f t="shared" si="0"/>
        <v>-4.2216421538285639E-3</v>
      </c>
      <c r="I114" s="7">
        <f t="shared" si="0"/>
        <v>-8.1711581771921407E-3</v>
      </c>
    </row>
    <row r="115" spans="1:9" ht="14.5" x14ac:dyDescent="0.35">
      <c r="A115" s="10" t="s">
        <v>108</v>
      </c>
      <c r="B115" s="10">
        <v>550.6</v>
      </c>
      <c r="C115" s="10">
        <v>104.3</v>
      </c>
      <c r="D115" s="10"/>
      <c r="H115" s="7">
        <f t="shared" si="0"/>
        <v>-2.9879671624014406E-2</v>
      </c>
      <c r="I115" s="7">
        <f t="shared" si="0"/>
        <v>6.7340321813441194E-3</v>
      </c>
    </row>
    <row r="116" spans="1:9" ht="14.5" x14ac:dyDescent="0.35">
      <c r="A116" s="10" t="s">
        <v>109</v>
      </c>
      <c r="B116" s="10">
        <v>543.29999999999995</v>
      </c>
      <c r="C116" s="10">
        <v>99.85</v>
      </c>
      <c r="D116" s="10"/>
      <c r="H116" s="7">
        <f t="shared" si="0"/>
        <v>-1.3346939151029691E-2</v>
      </c>
      <c r="I116" s="7">
        <f t="shared" si="0"/>
        <v>-4.3602302144902516E-2</v>
      </c>
    </row>
    <row r="117" spans="1:9" ht="14.5" x14ac:dyDescent="0.35">
      <c r="A117" s="10" t="s">
        <v>110</v>
      </c>
      <c r="B117" s="10">
        <v>536.5</v>
      </c>
      <c r="C117" s="10">
        <v>97.65</v>
      </c>
      <c r="D117" s="10"/>
      <c r="H117" s="7">
        <f t="shared" si="0"/>
        <v>-1.2595091486724108E-2</v>
      </c>
      <c r="I117" s="7">
        <f t="shared" si="0"/>
        <v>-2.2279402539136212E-2</v>
      </c>
    </row>
    <row r="118" spans="1:9" ht="14.5" x14ac:dyDescent="0.35">
      <c r="A118" s="10" t="s">
        <v>111</v>
      </c>
      <c r="B118" s="10">
        <v>524.85</v>
      </c>
      <c r="C118" s="10">
        <v>95.2</v>
      </c>
      <c r="D118" s="10"/>
      <c r="H118" s="7">
        <f t="shared" si="0"/>
        <v>-2.1954054588946344E-2</v>
      </c>
      <c r="I118" s="7">
        <f t="shared" si="0"/>
        <v>-2.5409715525368325E-2</v>
      </c>
    </row>
    <row r="119" spans="1:9" ht="14.5" x14ac:dyDescent="0.35">
      <c r="A119" s="10" t="s">
        <v>112</v>
      </c>
      <c r="B119" s="10">
        <v>521.75</v>
      </c>
      <c r="C119" s="10">
        <v>96.85</v>
      </c>
      <c r="D119" s="10"/>
      <c r="H119" s="7">
        <f t="shared" si="0"/>
        <v>-5.9239615244966251E-3</v>
      </c>
      <c r="I119" s="7">
        <f t="shared" si="0"/>
        <v>1.7183448055685193E-2</v>
      </c>
    </row>
    <row r="120" spans="1:9" ht="14.5" x14ac:dyDescent="0.35">
      <c r="A120" s="10" t="s">
        <v>113</v>
      </c>
      <c r="B120" s="10">
        <v>530.6</v>
      </c>
      <c r="C120" s="10">
        <v>99.3</v>
      </c>
      <c r="D120" s="10"/>
      <c r="H120" s="7">
        <f t="shared" si="0"/>
        <v>1.6819895746329167E-2</v>
      </c>
      <c r="I120" s="7">
        <f t="shared" si="0"/>
        <v>2.4982181198122014E-2</v>
      </c>
    </row>
    <row r="121" spans="1:9" ht="14.5" x14ac:dyDescent="0.35">
      <c r="A121" s="11">
        <v>44630</v>
      </c>
      <c r="B121" s="10">
        <v>519.75</v>
      </c>
      <c r="C121" s="10">
        <v>98.35</v>
      </c>
      <c r="D121" s="10"/>
      <c r="H121" s="7">
        <f t="shared" si="0"/>
        <v>-2.066051496551707E-2</v>
      </c>
      <c r="I121" s="7">
        <f t="shared" si="0"/>
        <v>-9.6130262160588811E-3</v>
      </c>
    </row>
    <row r="122" spans="1:9" ht="14.5" x14ac:dyDescent="0.35">
      <c r="A122" s="11">
        <v>44661</v>
      </c>
      <c r="B122" s="10">
        <v>532.70000000000005</v>
      </c>
      <c r="C122" s="10">
        <v>101.15</v>
      </c>
      <c r="D122" s="10"/>
      <c r="H122" s="7">
        <f t="shared" si="0"/>
        <v>2.4610487184831237E-2</v>
      </c>
      <c r="I122" s="7">
        <f t="shared" si="0"/>
        <v>2.8072018778686522E-2</v>
      </c>
    </row>
    <row r="123" spans="1:9" ht="14.5" x14ac:dyDescent="0.35">
      <c r="A123" s="11">
        <v>44722</v>
      </c>
      <c r="B123" s="10">
        <v>537.29999999999995</v>
      </c>
      <c r="C123" s="10">
        <v>103.55</v>
      </c>
      <c r="D123" s="10"/>
      <c r="H123" s="7">
        <f t="shared" si="0"/>
        <v>8.5981838118222263E-3</v>
      </c>
      <c r="I123" s="7">
        <f t="shared" si="0"/>
        <v>2.3450024227838522E-2</v>
      </c>
    </row>
    <row r="124" spans="1:9" ht="14.5" x14ac:dyDescent="0.35">
      <c r="A124" s="11">
        <v>44752</v>
      </c>
      <c r="B124" s="10">
        <v>530.20000000000005</v>
      </c>
      <c r="C124" s="10">
        <v>103.3</v>
      </c>
      <c r="D124" s="10"/>
      <c r="H124" s="7">
        <f t="shared" si="0"/>
        <v>-1.3302303879850449E-2</v>
      </c>
      <c r="I124" s="7">
        <f t="shared" si="0"/>
        <v>-2.4172117160002546E-3</v>
      </c>
    </row>
    <row r="125" spans="1:9" ht="14.5" x14ac:dyDescent="0.35">
      <c r="A125" s="11">
        <v>44844</v>
      </c>
      <c r="B125" s="10">
        <v>530.75</v>
      </c>
      <c r="C125" s="10">
        <v>103.2</v>
      </c>
      <c r="D125" s="10"/>
      <c r="H125" s="7">
        <f t="shared" si="0"/>
        <v>1.0368067284403084E-3</v>
      </c>
      <c r="I125" s="7">
        <f t="shared" si="0"/>
        <v>-9.6852307813042585E-4</v>
      </c>
    </row>
    <row r="126" spans="1:9" ht="14.5" x14ac:dyDescent="0.35">
      <c r="A126" s="16">
        <v>44875</v>
      </c>
      <c r="B126" s="10">
        <v>527.4</v>
      </c>
      <c r="C126" s="10">
        <v>100.35</v>
      </c>
      <c r="D126" s="10"/>
      <c r="H126" s="7">
        <f t="shared" si="0"/>
        <v>-6.3318266641792242E-3</v>
      </c>
      <c r="I126" s="7">
        <f t="shared" si="0"/>
        <v>-2.8004777805115261E-2</v>
      </c>
    </row>
    <row r="127" spans="1:9" ht="14.5" x14ac:dyDescent="0.35">
      <c r="A127" s="16">
        <v>44905</v>
      </c>
      <c r="B127" s="10">
        <v>533.79999999999995</v>
      </c>
      <c r="C127" s="10">
        <v>100.55</v>
      </c>
      <c r="D127" s="10"/>
      <c r="H127" s="7">
        <f t="shared" si="0"/>
        <v>1.206196305123736E-2</v>
      </c>
      <c r="I127" s="7">
        <f t="shared" si="0"/>
        <v>1.9910409763140096E-3</v>
      </c>
    </row>
    <row r="128" spans="1:9" ht="14.5" x14ac:dyDescent="0.35">
      <c r="A128" s="10" t="s">
        <v>114</v>
      </c>
      <c r="B128" s="10">
        <v>521.45000000000005</v>
      </c>
      <c r="C128" s="10">
        <v>100.1</v>
      </c>
      <c r="D128" s="10"/>
      <c r="H128" s="7">
        <f t="shared" si="0"/>
        <v>-2.3407844403201702E-2</v>
      </c>
      <c r="I128" s="7">
        <f t="shared" si="0"/>
        <v>-4.4854298974862095E-3</v>
      </c>
    </row>
    <row r="129" spans="1:9" ht="14.5" x14ac:dyDescent="0.35">
      <c r="A129" s="10" t="s">
        <v>115</v>
      </c>
      <c r="B129" s="10">
        <v>527.20000000000005</v>
      </c>
      <c r="C129" s="10">
        <v>100.1</v>
      </c>
      <c r="D129" s="10"/>
      <c r="H129" s="7">
        <f t="shared" si="0"/>
        <v>1.0966590621075675E-2</v>
      </c>
      <c r="I129" s="7">
        <f t="shared" si="0"/>
        <v>0</v>
      </c>
    </row>
    <row r="130" spans="1:9" ht="14.5" x14ac:dyDescent="0.35">
      <c r="A130" s="10" t="s">
        <v>116</v>
      </c>
      <c r="B130" s="10">
        <v>543.65</v>
      </c>
      <c r="C130" s="10">
        <v>99.55</v>
      </c>
      <c r="D130" s="10"/>
      <c r="H130" s="7">
        <f t="shared" si="0"/>
        <v>3.0725674255460963E-2</v>
      </c>
      <c r="I130" s="7">
        <f t="shared" si="0"/>
        <v>-5.5096558109695845E-3</v>
      </c>
    </row>
    <row r="131" spans="1:9" ht="14.5" x14ac:dyDescent="0.35">
      <c r="A131" s="10" t="s">
        <v>117</v>
      </c>
      <c r="B131" s="10">
        <v>562.45000000000005</v>
      </c>
      <c r="C131" s="10">
        <v>100.65</v>
      </c>
      <c r="D131" s="10"/>
      <c r="H131" s="7">
        <f t="shared" si="0"/>
        <v>3.3996583795076585E-2</v>
      </c>
      <c r="I131" s="7">
        <f t="shared" si="0"/>
        <v>1.0989121575595385E-2</v>
      </c>
    </row>
    <row r="132" spans="1:9" ht="14.5" x14ac:dyDescent="0.35">
      <c r="A132" s="10" t="s">
        <v>118</v>
      </c>
      <c r="B132" s="10">
        <v>553.4</v>
      </c>
      <c r="C132" s="10">
        <v>100.05</v>
      </c>
      <c r="D132" s="10"/>
      <c r="H132" s="7">
        <f t="shared" si="0"/>
        <v>-1.6221173886009532E-2</v>
      </c>
      <c r="I132" s="7">
        <f t="shared" ref="I132:I195" si="2">LN(C132/C131)</f>
        <v>-5.979091056058183E-3</v>
      </c>
    </row>
    <row r="133" spans="1:9" ht="14.5" x14ac:dyDescent="0.35">
      <c r="A133" s="10" t="s">
        <v>119</v>
      </c>
      <c r="B133" s="10">
        <v>555.4</v>
      </c>
      <c r="C133" s="10">
        <v>100.9</v>
      </c>
      <c r="D133" s="10"/>
      <c r="H133" s="7">
        <f t="shared" ref="H133:I250" si="3">LN(B133/B132)</f>
        <v>3.607507519873696E-3</v>
      </c>
      <c r="I133" s="7">
        <f t="shared" si="2"/>
        <v>8.4598663298209847E-3</v>
      </c>
    </row>
    <row r="134" spans="1:9" ht="14.5" x14ac:dyDescent="0.35">
      <c r="A134" s="10" t="s">
        <v>120</v>
      </c>
      <c r="B134" s="10">
        <v>560.85</v>
      </c>
      <c r="C134" s="10">
        <v>100.2</v>
      </c>
      <c r="D134" s="10"/>
      <c r="H134" s="7">
        <f t="shared" si="3"/>
        <v>9.7649152185333241E-3</v>
      </c>
      <c r="I134" s="7">
        <f t="shared" si="2"/>
        <v>-6.9617387087988836E-3</v>
      </c>
    </row>
    <row r="135" spans="1:9" ht="14.5" x14ac:dyDescent="0.35">
      <c r="A135" s="10" t="s">
        <v>121</v>
      </c>
      <c r="B135" s="10">
        <v>570.5</v>
      </c>
      <c r="C135" s="10">
        <v>101.2</v>
      </c>
      <c r="D135" s="10"/>
      <c r="H135" s="7">
        <f t="shared" si="3"/>
        <v>1.7059679210897825E-2</v>
      </c>
      <c r="I135" s="7">
        <f t="shared" si="2"/>
        <v>9.9305682026007876E-3</v>
      </c>
    </row>
    <row r="136" spans="1:9" ht="14.5" x14ac:dyDescent="0.35">
      <c r="A136" s="10" t="s">
        <v>122</v>
      </c>
      <c r="B136" s="10">
        <v>578.54999999999995</v>
      </c>
      <c r="C136" s="10">
        <v>101.2</v>
      </c>
      <c r="D136" s="10"/>
      <c r="H136" s="7">
        <f t="shared" si="3"/>
        <v>1.401180402021608E-2</v>
      </c>
      <c r="I136" s="7">
        <f t="shared" si="2"/>
        <v>0</v>
      </c>
    </row>
    <row r="137" spans="1:9" ht="14.5" x14ac:dyDescent="0.35">
      <c r="A137" s="10" t="s">
        <v>123</v>
      </c>
      <c r="B137" s="10">
        <v>579.65</v>
      </c>
      <c r="C137" s="10">
        <v>104.2</v>
      </c>
      <c r="D137" s="10"/>
      <c r="H137" s="7">
        <f t="shared" si="3"/>
        <v>1.8994997940640723E-3</v>
      </c>
      <c r="I137" s="7">
        <f t="shared" si="2"/>
        <v>2.9213372465901423E-2</v>
      </c>
    </row>
    <row r="138" spans="1:9" ht="14.5" x14ac:dyDescent="0.35">
      <c r="A138" s="10" t="s">
        <v>124</v>
      </c>
      <c r="B138" s="10">
        <v>570.75</v>
      </c>
      <c r="C138" s="10">
        <v>101.6</v>
      </c>
      <c r="D138" s="10"/>
      <c r="H138" s="7">
        <f t="shared" si="3"/>
        <v>-1.5473187706505517E-2</v>
      </c>
      <c r="I138" s="7">
        <f t="shared" si="2"/>
        <v>-2.5268594174885053E-2</v>
      </c>
    </row>
    <row r="139" spans="1:9" ht="14.5" x14ac:dyDescent="0.35">
      <c r="A139" s="10" t="s">
        <v>125</v>
      </c>
      <c r="B139" s="10">
        <v>573.79999999999995</v>
      </c>
      <c r="C139" s="10">
        <v>101.55</v>
      </c>
      <c r="D139" s="10"/>
      <c r="H139" s="7">
        <f t="shared" si="3"/>
        <v>5.329618137359428E-3</v>
      </c>
      <c r="I139" s="7">
        <f t="shared" si="2"/>
        <v>-4.9224711798782526E-4</v>
      </c>
    </row>
    <row r="140" spans="1:9" ht="14.5" x14ac:dyDescent="0.35">
      <c r="A140" s="11">
        <v>44572</v>
      </c>
      <c r="B140" s="10">
        <v>576.9</v>
      </c>
      <c r="C140" s="10">
        <v>101.2</v>
      </c>
      <c r="D140" s="10"/>
      <c r="H140" s="7">
        <f t="shared" si="3"/>
        <v>5.3880377155794273E-3</v>
      </c>
      <c r="I140" s="7">
        <f t="shared" si="2"/>
        <v>-3.4525311730285034E-3</v>
      </c>
    </row>
    <row r="141" spans="1:9" ht="14.5" x14ac:dyDescent="0.35">
      <c r="A141" s="11">
        <v>44603</v>
      </c>
      <c r="B141" s="10">
        <v>573.85</v>
      </c>
      <c r="C141" s="10">
        <v>101.25</v>
      </c>
      <c r="D141" s="10"/>
      <c r="H141" s="7">
        <f t="shared" si="3"/>
        <v>-5.3009031361663326E-3</v>
      </c>
      <c r="I141" s="7">
        <f t="shared" si="2"/>
        <v>4.9394913328340432E-4</v>
      </c>
    </row>
    <row r="142" spans="1:9" ht="14.5" x14ac:dyDescent="0.35">
      <c r="A142" s="11">
        <v>44631</v>
      </c>
      <c r="B142" s="10">
        <v>584.9</v>
      </c>
      <c r="C142" s="10">
        <v>102</v>
      </c>
      <c r="D142" s="10"/>
      <c r="H142" s="7">
        <f t="shared" si="3"/>
        <v>1.907285432230257E-2</v>
      </c>
      <c r="I142" s="7">
        <f t="shared" si="2"/>
        <v>7.38010729762246E-3</v>
      </c>
    </row>
    <row r="143" spans="1:9" ht="14.5" x14ac:dyDescent="0.35">
      <c r="A143" s="11">
        <v>44662</v>
      </c>
      <c r="B143" s="10">
        <v>593.95000000000005</v>
      </c>
      <c r="C143" s="10">
        <v>104.75</v>
      </c>
      <c r="D143" s="10"/>
      <c r="H143" s="7">
        <f t="shared" si="3"/>
        <v>1.5354248286568617E-2</v>
      </c>
      <c r="I143" s="7">
        <f t="shared" si="2"/>
        <v>2.6603745517975938E-2</v>
      </c>
    </row>
    <row r="144" spans="1:9" ht="14.5" x14ac:dyDescent="0.35">
      <c r="A144" s="11">
        <v>44753</v>
      </c>
      <c r="B144" s="10">
        <v>614.15</v>
      </c>
      <c r="C144" s="10">
        <v>106.7</v>
      </c>
      <c r="D144" s="10"/>
      <c r="H144" s="7">
        <f t="shared" si="3"/>
        <v>3.3444057249554647E-2</v>
      </c>
      <c r="I144" s="7">
        <f t="shared" si="2"/>
        <v>1.8444599505460534E-2</v>
      </c>
    </row>
    <row r="145" spans="1:9" ht="14.5" x14ac:dyDescent="0.35">
      <c r="A145" s="11">
        <v>44815</v>
      </c>
      <c r="B145" s="10">
        <v>615.54999999999995</v>
      </c>
      <c r="C145" s="10">
        <v>106.1</v>
      </c>
      <c r="D145" s="10"/>
      <c r="H145" s="7">
        <f t="shared" si="3"/>
        <v>2.2769791085205356E-3</v>
      </c>
      <c r="I145" s="7">
        <f t="shared" si="2"/>
        <v>-5.6391126877702617E-3</v>
      </c>
    </row>
    <row r="146" spans="1:9" ht="14.5" x14ac:dyDescent="0.35">
      <c r="A146" s="11">
        <v>44845</v>
      </c>
      <c r="B146" s="10">
        <v>605.75</v>
      </c>
      <c r="C146" s="10">
        <v>104.7</v>
      </c>
      <c r="D146" s="10"/>
      <c r="H146" s="7">
        <f t="shared" si="3"/>
        <v>-1.6048817396988754E-2</v>
      </c>
      <c r="I146" s="7">
        <f t="shared" si="2"/>
        <v>-1.3282927743446167E-2</v>
      </c>
    </row>
    <row r="147" spans="1:9" ht="14.5" x14ac:dyDescent="0.35">
      <c r="A147" s="11">
        <v>44876</v>
      </c>
      <c r="B147" s="10">
        <v>601.29999999999995</v>
      </c>
      <c r="C147" s="10">
        <v>107.55</v>
      </c>
      <c r="D147" s="10"/>
      <c r="H147" s="7">
        <f t="shared" si="3"/>
        <v>-7.3733816511122076E-3</v>
      </c>
      <c r="I147" s="7">
        <f t="shared" si="2"/>
        <v>2.6856737837247725E-2</v>
      </c>
    </row>
    <row r="148" spans="1:9" ht="14.5" x14ac:dyDescent="0.35">
      <c r="A148" s="10" t="s">
        <v>126</v>
      </c>
      <c r="B148" s="10">
        <v>592.54999999999995</v>
      </c>
      <c r="C148" s="10">
        <v>108.7</v>
      </c>
      <c r="D148" s="10"/>
      <c r="H148" s="7">
        <f t="shared" si="3"/>
        <v>-1.4658720411065414E-2</v>
      </c>
      <c r="I148" s="7">
        <f t="shared" si="2"/>
        <v>1.0635938413424712E-2</v>
      </c>
    </row>
    <row r="149" spans="1:9" ht="14.5" x14ac:dyDescent="0.35">
      <c r="A149" s="10" t="s">
        <v>127</v>
      </c>
      <c r="B149" s="10">
        <v>600.85</v>
      </c>
      <c r="C149" s="10">
        <v>108.55</v>
      </c>
      <c r="D149" s="10"/>
      <c r="H149" s="7">
        <f t="shared" si="3"/>
        <v>1.3910061722851221E-2</v>
      </c>
      <c r="I149" s="7">
        <f t="shared" si="2"/>
        <v>-1.3808978028629307E-3</v>
      </c>
    </row>
    <row r="150" spans="1:9" ht="14.5" x14ac:dyDescent="0.35">
      <c r="A150" s="10" t="s">
        <v>128</v>
      </c>
      <c r="B150" s="10">
        <v>599.75</v>
      </c>
      <c r="C150" s="10">
        <v>106.55</v>
      </c>
      <c r="D150" s="10"/>
      <c r="H150" s="7">
        <f t="shared" si="3"/>
        <v>-1.8324176375048914E-3</v>
      </c>
      <c r="I150" s="7">
        <f t="shared" si="2"/>
        <v>-1.8596537779674679E-2</v>
      </c>
    </row>
    <row r="151" spans="1:9" ht="14.5" x14ac:dyDescent="0.35">
      <c r="A151" s="10" t="s">
        <v>129</v>
      </c>
      <c r="B151" s="10">
        <v>599.04999999999995</v>
      </c>
      <c r="C151" s="10">
        <v>105.85</v>
      </c>
      <c r="D151" s="10"/>
      <c r="H151" s="7">
        <f t="shared" si="3"/>
        <v>-1.1678346338959834E-3</v>
      </c>
      <c r="I151" s="7">
        <f t="shared" si="2"/>
        <v>-6.5913609637519984E-3</v>
      </c>
    </row>
    <row r="152" spans="1:9" ht="14.5" x14ac:dyDescent="0.35">
      <c r="A152" s="10" t="s">
        <v>130</v>
      </c>
      <c r="B152" s="10">
        <v>602.70000000000005</v>
      </c>
      <c r="C152" s="10">
        <v>105.5</v>
      </c>
      <c r="D152" s="10"/>
      <c r="H152" s="7">
        <f t="shared" si="3"/>
        <v>6.0744934030904302E-3</v>
      </c>
      <c r="I152" s="7">
        <f t="shared" si="2"/>
        <v>-3.312044664752913E-3</v>
      </c>
    </row>
    <row r="153" spans="1:9" ht="14.5" x14ac:dyDescent="0.35">
      <c r="A153" s="10" t="s">
        <v>131</v>
      </c>
      <c r="B153" s="10">
        <v>598.1</v>
      </c>
      <c r="C153" s="10">
        <v>104.25</v>
      </c>
      <c r="D153" s="10"/>
      <c r="H153" s="7">
        <f t="shared" si="3"/>
        <v>-7.6615964384871039E-3</v>
      </c>
      <c r="I153" s="7">
        <f t="shared" si="2"/>
        <v>-1.1919092237210311E-2</v>
      </c>
    </row>
    <row r="154" spans="1:9" ht="14.5" x14ac:dyDescent="0.35">
      <c r="A154" s="10" t="s">
        <v>132</v>
      </c>
      <c r="B154" s="10">
        <v>599.1</v>
      </c>
      <c r="C154" s="10">
        <v>105.2</v>
      </c>
      <c r="D154" s="10"/>
      <c r="H154" s="7">
        <f t="shared" si="3"/>
        <v>1.6705650393678121E-3</v>
      </c>
      <c r="I154" s="7">
        <f t="shared" si="2"/>
        <v>9.0714396246987759E-3</v>
      </c>
    </row>
    <row r="155" spans="1:9" ht="14.5" x14ac:dyDescent="0.35">
      <c r="A155" s="10" t="s">
        <v>133</v>
      </c>
      <c r="B155" s="10">
        <v>607.65</v>
      </c>
      <c r="C155" s="10">
        <v>105.45</v>
      </c>
      <c r="D155" s="10"/>
      <c r="H155" s="7">
        <f t="shared" si="3"/>
        <v>1.4170529226930023E-2</v>
      </c>
      <c r="I155" s="7">
        <f t="shared" si="2"/>
        <v>2.3736066211740396E-3</v>
      </c>
    </row>
    <row r="156" spans="1:9" ht="14.5" x14ac:dyDescent="0.35">
      <c r="A156" s="10" t="s">
        <v>134</v>
      </c>
      <c r="B156" s="10">
        <v>609.35</v>
      </c>
      <c r="C156" s="10">
        <v>105.5</v>
      </c>
      <c r="D156" s="10"/>
      <c r="H156" s="7">
        <f t="shared" si="3"/>
        <v>2.7937569527020957E-3</v>
      </c>
      <c r="I156" s="7">
        <f t="shared" si="2"/>
        <v>4.7404599133756746E-4</v>
      </c>
    </row>
    <row r="157" spans="1:9" ht="14.5" x14ac:dyDescent="0.35">
      <c r="A157" s="10" t="s">
        <v>135</v>
      </c>
      <c r="B157" s="10">
        <v>607.4</v>
      </c>
      <c r="C157" s="10">
        <v>106.2</v>
      </c>
      <c r="D157" s="10"/>
      <c r="H157" s="7">
        <f t="shared" si="3"/>
        <v>-3.2052626578629854E-3</v>
      </c>
      <c r="I157" s="7">
        <f t="shared" si="2"/>
        <v>6.6131558917172303E-3</v>
      </c>
    </row>
    <row r="158" spans="1:9" ht="14.5" x14ac:dyDescent="0.35">
      <c r="A158" s="10" t="s">
        <v>136</v>
      </c>
      <c r="B158" s="10">
        <v>608.6</v>
      </c>
      <c r="C158" s="10">
        <v>104.9</v>
      </c>
      <c r="D158" s="10"/>
      <c r="H158" s="7">
        <f t="shared" si="3"/>
        <v>1.9736848512224405E-3</v>
      </c>
      <c r="I158" s="7">
        <f t="shared" si="2"/>
        <v>-1.2316593405586985E-2</v>
      </c>
    </row>
    <row r="159" spans="1:9" ht="14.5" x14ac:dyDescent="0.35">
      <c r="A159" s="10" t="s">
        <v>137</v>
      </c>
      <c r="B159" s="10">
        <v>608.54999999999995</v>
      </c>
      <c r="C159" s="10">
        <v>106.1</v>
      </c>
      <c r="D159" s="10"/>
      <c r="H159" s="7">
        <f t="shared" si="3"/>
        <v>-8.2159142304849298E-5</v>
      </c>
      <c r="I159" s="7">
        <f t="shared" si="2"/>
        <v>1.1374530217685773E-2</v>
      </c>
    </row>
    <row r="160" spans="1:9" ht="14.5" x14ac:dyDescent="0.35">
      <c r="A160" s="10" t="s">
        <v>138</v>
      </c>
      <c r="B160" s="10">
        <v>602.45000000000005</v>
      </c>
      <c r="C160" s="10">
        <v>107.65</v>
      </c>
      <c r="D160" s="10"/>
      <c r="H160" s="7">
        <f t="shared" si="3"/>
        <v>-1.007440395128034E-2</v>
      </c>
      <c r="I160" s="7">
        <f t="shared" si="2"/>
        <v>1.45031781904347E-2</v>
      </c>
    </row>
    <row r="161" spans="1:9" ht="14.5" x14ac:dyDescent="0.35">
      <c r="A161" s="11">
        <v>44573</v>
      </c>
      <c r="B161" s="10">
        <v>608.1</v>
      </c>
      <c r="C161" s="10">
        <v>110.75</v>
      </c>
      <c r="D161" s="10"/>
      <c r="H161" s="7">
        <f t="shared" si="3"/>
        <v>9.3346677567784798E-3</v>
      </c>
      <c r="I161" s="7">
        <f t="shared" si="2"/>
        <v>2.8390185114873016E-2</v>
      </c>
    </row>
    <row r="162" spans="1:9" ht="14.5" x14ac:dyDescent="0.35">
      <c r="A162" s="11">
        <v>44604</v>
      </c>
      <c r="B162" s="10">
        <v>607.54999999999995</v>
      </c>
      <c r="C162" s="10">
        <v>112</v>
      </c>
      <c r="D162" s="10"/>
      <c r="H162" s="7">
        <f t="shared" si="3"/>
        <v>-9.0486577144339726E-4</v>
      </c>
      <c r="I162" s="7">
        <f t="shared" si="2"/>
        <v>1.1223462369849576E-2</v>
      </c>
    </row>
    <row r="163" spans="1:9" ht="14.5" x14ac:dyDescent="0.35">
      <c r="A163" s="11">
        <v>44693</v>
      </c>
      <c r="B163" s="10">
        <v>617.29999999999995</v>
      </c>
      <c r="C163" s="10">
        <v>115.85</v>
      </c>
      <c r="D163" s="10"/>
      <c r="H163" s="7">
        <f t="shared" si="3"/>
        <v>1.5920653045229393E-2</v>
      </c>
      <c r="I163" s="7">
        <f t="shared" si="2"/>
        <v>3.379737958329071E-2</v>
      </c>
    </row>
    <row r="164" spans="1:9" ht="14.5" x14ac:dyDescent="0.35">
      <c r="A164" s="11">
        <v>44724</v>
      </c>
      <c r="B164" s="10">
        <v>608.95000000000005</v>
      </c>
      <c r="C164" s="10">
        <v>112.95</v>
      </c>
      <c r="D164" s="10"/>
      <c r="H164" s="7">
        <f t="shared" si="3"/>
        <v>-1.3618966866730578E-2</v>
      </c>
      <c r="I164" s="7">
        <f t="shared" si="2"/>
        <v>-2.5351007964372854E-2</v>
      </c>
    </row>
    <row r="165" spans="1:9" ht="14.5" x14ac:dyDescent="0.35">
      <c r="A165" s="11">
        <v>44754</v>
      </c>
      <c r="B165" s="10">
        <v>607.04999999999995</v>
      </c>
      <c r="C165" s="10">
        <v>111.2</v>
      </c>
      <c r="D165" s="10"/>
      <c r="H165" s="7">
        <f t="shared" si="3"/>
        <v>-3.1250025431353891E-3</v>
      </c>
      <c r="I165" s="7">
        <f t="shared" si="2"/>
        <v>-1.5614861097530297E-2</v>
      </c>
    </row>
    <row r="166" spans="1:9" ht="14.5" x14ac:dyDescent="0.35">
      <c r="A166" s="11">
        <v>44785</v>
      </c>
      <c r="B166" s="10">
        <v>611.65</v>
      </c>
      <c r="C166" s="10">
        <v>111.85</v>
      </c>
      <c r="D166" s="10"/>
      <c r="H166" s="7">
        <f t="shared" si="3"/>
        <v>7.549063502941088E-3</v>
      </c>
      <c r="I166" s="7">
        <f t="shared" si="2"/>
        <v>5.8283061196566319E-3</v>
      </c>
    </row>
    <row r="167" spans="1:9" ht="14.5" x14ac:dyDescent="0.35">
      <c r="A167" s="16">
        <v>44816</v>
      </c>
      <c r="B167" s="10">
        <v>616.5</v>
      </c>
      <c r="C167" s="10">
        <v>110.45</v>
      </c>
      <c r="D167" s="10"/>
      <c r="H167" s="7">
        <f t="shared" si="3"/>
        <v>7.8980991114736832E-3</v>
      </c>
      <c r="I167" s="7">
        <f t="shared" si="2"/>
        <v>-1.2595758070012359E-2</v>
      </c>
    </row>
    <row r="168" spans="1:9" ht="14.5" x14ac:dyDescent="0.35">
      <c r="A168" s="16">
        <v>44907</v>
      </c>
      <c r="B168" s="10">
        <v>613.04999999999995</v>
      </c>
      <c r="C168" s="10">
        <v>111.7</v>
      </c>
      <c r="D168" s="10"/>
      <c r="H168" s="7">
        <f t="shared" si="3"/>
        <v>-5.6118239260030539E-3</v>
      </c>
      <c r="I168" s="7">
        <f t="shared" si="2"/>
        <v>1.1253776209028933E-2</v>
      </c>
    </row>
    <row r="169" spans="1:9" ht="14.5" x14ac:dyDescent="0.35">
      <c r="A169" s="10" t="s">
        <v>139</v>
      </c>
      <c r="B169" s="10">
        <v>616.75</v>
      </c>
      <c r="C169" s="10">
        <v>111.2</v>
      </c>
      <c r="D169" s="10"/>
      <c r="H169" s="7">
        <f t="shared" si="3"/>
        <v>6.0172567310702411E-3</v>
      </c>
      <c r="I169" s="7">
        <f t="shared" si="2"/>
        <v>-4.4863242586729709E-3</v>
      </c>
    </row>
    <row r="170" spans="1:9" ht="14.5" x14ac:dyDescent="0.35">
      <c r="A170" s="10" t="s">
        <v>140</v>
      </c>
      <c r="B170" s="10">
        <v>625.5</v>
      </c>
      <c r="C170" s="10">
        <v>113.05</v>
      </c>
      <c r="D170" s="10"/>
      <c r="H170" s="7">
        <f t="shared" si="3"/>
        <v>1.4087574497499753E-2</v>
      </c>
      <c r="I170" s="7">
        <f t="shared" si="2"/>
        <v>1.6499816907496804E-2</v>
      </c>
    </row>
    <row r="171" spans="1:9" ht="14.5" x14ac:dyDescent="0.35">
      <c r="A171" s="10" t="s">
        <v>141</v>
      </c>
      <c r="B171" s="10">
        <v>615.95000000000005</v>
      </c>
      <c r="C171" s="10">
        <v>110.95</v>
      </c>
      <c r="D171" s="10"/>
      <c r="H171" s="7">
        <f t="shared" si="3"/>
        <v>-1.5385538498982602E-2</v>
      </c>
      <c r="I171" s="7">
        <f t="shared" si="2"/>
        <v>-1.8750549345375917E-2</v>
      </c>
    </row>
    <row r="172" spans="1:9" ht="14.5" x14ac:dyDescent="0.35">
      <c r="A172" s="10" t="s">
        <v>142</v>
      </c>
      <c r="B172" s="10">
        <v>603.35</v>
      </c>
      <c r="C172" s="10">
        <v>111.05</v>
      </c>
      <c r="D172" s="10"/>
      <c r="H172" s="7">
        <f t="shared" si="3"/>
        <v>-2.0668331888373359E-2</v>
      </c>
      <c r="I172" s="7">
        <f t="shared" si="2"/>
        <v>9.0090096183345441E-4</v>
      </c>
    </row>
    <row r="173" spans="1:9" ht="14.5" x14ac:dyDescent="0.35">
      <c r="A173" s="10" t="s">
        <v>143</v>
      </c>
      <c r="B173" s="10">
        <v>604.45000000000005</v>
      </c>
      <c r="C173" s="10">
        <v>111.8</v>
      </c>
      <c r="D173" s="10"/>
      <c r="H173" s="7">
        <f t="shared" si="3"/>
        <v>1.8214941283912357E-3</v>
      </c>
      <c r="I173" s="7">
        <f t="shared" si="2"/>
        <v>6.731010380562244E-3</v>
      </c>
    </row>
    <row r="174" spans="1:9" ht="14.5" x14ac:dyDescent="0.35">
      <c r="A174" s="10" t="s">
        <v>144</v>
      </c>
      <c r="B174" s="10">
        <v>604.45000000000005</v>
      </c>
      <c r="C174" s="10">
        <v>110.95</v>
      </c>
      <c r="D174" s="10"/>
      <c r="H174" s="7">
        <f t="shared" si="3"/>
        <v>0</v>
      </c>
      <c r="I174" s="7">
        <f t="shared" si="2"/>
        <v>-7.6319113423957696E-3</v>
      </c>
    </row>
    <row r="175" spans="1:9" ht="14.5" x14ac:dyDescent="0.35">
      <c r="A175" s="10" t="s">
        <v>145</v>
      </c>
      <c r="B175" s="10">
        <v>593.4</v>
      </c>
      <c r="C175" s="10">
        <v>109.4</v>
      </c>
      <c r="D175" s="10"/>
      <c r="H175" s="7">
        <f t="shared" si="3"/>
        <v>-1.8450245791279605E-2</v>
      </c>
      <c r="I175" s="7">
        <f t="shared" si="2"/>
        <v>-1.4068759390722023E-2</v>
      </c>
    </row>
    <row r="176" spans="1:9" ht="14.5" x14ac:dyDescent="0.35">
      <c r="A176" s="10" t="s">
        <v>146</v>
      </c>
      <c r="B176" s="10">
        <v>593.4</v>
      </c>
      <c r="C176" s="10">
        <v>107.65</v>
      </c>
      <c r="D176" s="10"/>
      <c r="H176" s="7">
        <f t="shared" si="3"/>
        <v>0</v>
      </c>
      <c r="I176" s="7">
        <f t="shared" si="2"/>
        <v>-1.6125666177508765E-2</v>
      </c>
    </row>
    <row r="177" spans="1:9" ht="14.5" x14ac:dyDescent="0.35">
      <c r="A177" s="10" t="s">
        <v>147</v>
      </c>
      <c r="B177" s="10">
        <v>574</v>
      </c>
      <c r="C177" s="10">
        <v>102.25</v>
      </c>
      <c r="D177" s="10"/>
      <c r="H177" s="7">
        <f t="shared" si="3"/>
        <v>-3.3239311537154967E-2</v>
      </c>
      <c r="I177" s="7">
        <f t="shared" si="2"/>
        <v>-5.1464428887460965E-2</v>
      </c>
    </row>
    <row r="178" spans="1:9" ht="14.5" x14ac:dyDescent="0.35">
      <c r="A178" s="10" t="s">
        <v>148</v>
      </c>
      <c r="B178" s="10">
        <v>597.1</v>
      </c>
      <c r="C178" s="10">
        <v>105</v>
      </c>
      <c r="D178" s="10"/>
      <c r="H178" s="7">
        <f t="shared" si="3"/>
        <v>3.9455207233380356E-2</v>
      </c>
      <c r="I178" s="7">
        <f t="shared" si="2"/>
        <v>2.6539555234612312E-2</v>
      </c>
    </row>
    <row r="179" spans="1:9" ht="14.5" x14ac:dyDescent="0.35">
      <c r="A179" s="10" t="s">
        <v>149</v>
      </c>
      <c r="B179" s="10">
        <v>601.9</v>
      </c>
      <c r="C179" s="10">
        <v>111.15</v>
      </c>
      <c r="D179" s="10"/>
      <c r="H179" s="7">
        <f t="shared" si="3"/>
        <v>8.0067150007782206E-3</v>
      </c>
      <c r="I179" s="7">
        <f t="shared" si="2"/>
        <v>5.6920290252682353E-2</v>
      </c>
    </row>
    <row r="180" spans="1:9" ht="14.5" x14ac:dyDescent="0.35">
      <c r="A180" s="10" t="s">
        <v>150</v>
      </c>
      <c r="B180" s="10">
        <v>601.04999999999995</v>
      </c>
      <c r="C180" s="10">
        <v>110</v>
      </c>
      <c r="D180" s="10"/>
      <c r="H180" s="7">
        <f t="shared" si="3"/>
        <v>-1.4131928034618938E-3</v>
      </c>
      <c r="I180" s="7">
        <f t="shared" si="2"/>
        <v>-1.0400274617789456E-2</v>
      </c>
    </row>
    <row r="181" spans="1:9" ht="14.5" x14ac:dyDescent="0.35">
      <c r="A181" s="10" t="s">
        <v>151</v>
      </c>
      <c r="B181" s="10">
        <v>611.79999999999995</v>
      </c>
      <c r="C181" s="10">
        <v>111.75</v>
      </c>
      <c r="D181" s="10"/>
      <c r="H181" s="7">
        <f t="shared" si="3"/>
        <v>1.7727305966539743E-2</v>
      </c>
      <c r="I181" s="7">
        <f t="shared" si="2"/>
        <v>1.5783867701261951E-2</v>
      </c>
    </row>
    <row r="182" spans="1:9" ht="14.5" x14ac:dyDescent="0.35">
      <c r="A182" s="10" t="s">
        <v>152</v>
      </c>
      <c r="B182" s="10">
        <v>613.70000000000005</v>
      </c>
      <c r="C182" s="10">
        <v>112.65</v>
      </c>
      <c r="D182" s="10"/>
      <c r="H182" s="7">
        <f t="shared" si="3"/>
        <v>3.100777678248407E-3</v>
      </c>
      <c r="I182" s="7">
        <f t="shared" si="2"/>
        <v>8.0214333845753053E-3</v>
      </c>
    </row>
    <row r="183" spans="1:9" ht="14.5" x14ac:dyDescent="0.35">
      <c r="A183" s="11">
        <v>44958</v>
      </c>
      <c r="B183" s="10">
        <v>612.20000000000005</v>
      </c>
      <c r="C183" s="10">
        <v>119.25</v>
      </c>
      <c r="D183" s="10"/>
      <c r="H183" s="7">
        <f t="shared" si="3"/>
        <v>-2.4471828837392077E-3</v>
      </c>
      <c r="I183" s="7">
        <f t="shared" si="2"/>
        <v>5.6936462890197007E-2</v>
      </c>
    </row>
    <row r="184" spans="1:9" ht="14.5" x14ac:dyDescent="0.35">
      <c r="A184" s="11">
        <v>44986</v>
      </c>
      <c r="B184" s="10">
        <v>612.4</v>
      </c>
      <c r="C184" s="10">
        <v>118.45</v>
      </c>
      <c r="D184" s="10"/>
      <c r="H184" s="7">
        <f t="shared" si="3"/>
        <v>3.2663727221640866E-4</v>
      </c>
      <c r="I184" s="7">
        <f t="shared" si="2"/>
        <v>-6.7311991636560915E-3</v>
      </c>
    </row>
    <row r="185" spans="1:9" ht="14.5" x14ac:dyDescent="0.35">
      <c r="A185" s="11">
        <v>45017</v>
      </c>
      <c r="B185" s="10">
        <v>605.20000000000005</v>
      </c>
      <c r="C185" s="10">
        <v>115.75</v>
      </c>
      <c r="D185" s="10"/>
      <c r="H185" s="7">
        <f t="shared" si="3"/>
        <v>-1.1826681869327711E-2</v>
      </c>
      <c r="I185" s="7">
        <f t="shared" si="2"/>
        <v>-2.3058237638451048E-2</v>
      </c>
    </row>
    <row r="186" spans="1:9" ht="14.5" x14ac:dyDescent="0.35">
      <c r="A186" s="11">
        <v>45047</v>
      </c>
      <c r="B186" s="10">
        <v>605.1</v>
      </c>
      <c r="C186" s="10">
        <v>116.55</v>
      </c>
      <c r="D186" s="10"/>
      <c r="H186" s="7">
        <f t="shared" si="3"/>
        <v>-1.6524828592514914E-4</v>
      </c>
      <c r="I186" s="7">
        <f t="shared" si="2"/>
        <v>6.8876725154227237E-3</v>
      </c>
    </row>
    <row r="187" spans="1:9" ht="14.5" x14ac:dyDescent="0.35">
      <c r="A187" s="11">
        <v>45078</v>
      </c>
      <c r="B187" s="10">
        <v>600.65</v>
      </c>
      <c r="C187" s="10">
        <v>115.65</v>
      </c>
      <c r="D187" s="10"/>
      <c r="H187" s="7">
        <f t="shared" si="3"/>
        <v>-7.3813314608917168E-3</v>
      </c>
      <c r="I187" s="7">
        <f t="shared" si="2"/>
        <v>-7.751976804317824E-3</v>
      </c>
    </row>
    <row r="188" spans="1:9" ht="14.5" x14ac:dyDescent="0.35">
      <c r="A188" s="11">
        <v>45170</v>
      </c>
      <c r="B188" s="10">
        <v>607.70000000000005</v>
      </c>
      <c r="C188" s="10">
        <v>117.55</v>
      </c>
      <c r="D188" s="10"/>
      <c r="H188" s="7">
        <f t="shared" si="3"/>
        <v>1.1668936973925459E-2</v>
      </c>
      <c r="I188" s="7">
        <f t="shared" si="2"/>
        <v>1.6295386308630273E-2</v>
      </c>
    </row>
    <row r="189" spans="1:9" ht="14.5" x14ac:dyDescent="0.35">
      <c r="A189" s="11">
        <v>45200</v>
      </c>
      <c r="B189" s="10">
        <v>595.15</v>
      </c>
      <c r="C189" s="10">
        <v>118.85</v>
      </c>
      <c r="D189" s="10"/>
      <c r="H189" s="7">
        <f t="shared" si="3"/>
        <v>-2.0867864527420881E-2</v>
      </c>
      <c r="I189" s="7">
        <f t="shared" si="2"/>
        <v>1.0998418820124336E-2</v>
      </c>
    </row>
    <row r="190" spans="1:9" ht="14.5" x14ac:dyDescent="0.35">
      <c r="A190" s="11">
        <v>45231</v>
      </c>
      <c r="B190" s="10">
        <v>596.70000000000005</v>
      </c>
      <c r="C190" s="10">
        <v>118.85</v>
      </c>
      <c r="D190" s="10"/>
      <c r="H190" s="7">
        <f t="shared" si="3"/>
        <v>2.6009999141474783E-3</v>
      </c>
      <c r="I190" s="7">
        <f t="shared" si="2"/>
        <v>0</v>
      </c>
    </row>
    <row r="191" spans="1:9" ht="14.5" x14ac:dyDescent="0.35">
      <c r="A191" s="11">
        <v>45261</v>
      </c>
      <c r="B191" s="10">
        <v>594.9</v>
      </c>
      <c r="C191" s="10">
        <v>118.1</v>
      </c>
      <c r="D191" s="10"/>
      <c r="H191" s="7">
        <f t="shared" si="3"/>
        <v>-3.0211503341763223E-3</v>
      </c>
      <c r="I191" s="7">
        <f t="shared" si="2"/>
        <v>-6.330470602886302E-3</v>
      </c>
    </row>
    <row r="192" spans="1:9" ht="14.5" x14ac:dyDescent="0.35">
      <c r="A192" s="10" t="s">
        <v>153</v>
      </c>
      <c r="B192" s="10">
        <v>600.1</v>
      </c>
      <c r="C192" s="10">
        <v>120.45</v>
      </c>
      <c r="D192" s="10"/>
      <c r="H192" s="7">
        <f t="shared" si="3"/>
        <v>8.702983801607337E-3</v>
      </c>
      <c r="I192" s="7">
        <f t="shared" si="2"/>
        <v>1.9703005857563741E-2</v>
      </c>
    </row>
    <row r="193" spans="1:9" ht="14.5" x14ac:dyDescent="0.35">
      <c r="A193" s="10" t="s">
        <v>154</v>
      </c>
      <c r="B193" s="10">
        <v>603</v>
      </c>
      <c r="C193" s="10">
        <v>119.95</v>
      </c>
      <c r="D193" s="10"/>
      <c r="H193" s="7">
        <f t="shared" si="3"/>
        <v>4.8208887317183315E-3</v>
      </c>
      <c r="I193" s="7">
        <f t="shared" si="2"/>
        <v>-4.1597397751767708E-3</v>
      </c>
    </row>
    <row r="194" spans="1:9" ht="14.5" x14ac:dyDescent="0.35">
      <c r="A194" s="10" t="s">
        <v>155</v>
      </c>
      <c r="B194" s="10">
        <v>592.95000000000005</v>
      </c>
      <c r="C194" s="10">
        <v>119.35</v>
      </c>
      <c r="D194" s="10"/>
      <c r="H194" s="7">
        <f t="shared" si="3"/>
        <v>-1.6807118316381174E-2</v>
      </c>
      <c r="I194" s="7">
        <f t="shared" si="2"/>
        <v>-5.0146365008644942E-3</v>
      </c>
    </row>
    <row r="195" spans="1:9" ht="14.5" x14ac:dyDescent="0.35">
      <c r="A195" s="10" t="s">
        <v>156</v>
      </c>
      <c r="B195" s="10">
        <v>591.45000000000005</v>
      </c>
      <c r="C195" s="10">
        <v>122.45</v>
      </c>
      <c r="D195" s="10"/>
      <c r="H195" s="7">
        <f t="shared" si="3"/>
        <v>-2.5329294190582774E-3</v>
      </c>
      <c r="I195" s="7">
        <f t="shared" si="2"/>
        <v>2.5642430613337652E-2</v>
      </c>
    </row>
    <row r="196" spans="1:9" ht="14.5" x14ac:dyDescent="0.35">
      <c r="A196" s="10" t="s">
        <v>157</v>
      </c>
      <c r="B196" s="10">
        <v>589.85</v>
      </c>
      <c r="C196" s="10">
        <v>123.55</v>
      </c>
      <c r="D196" s="10"/>
      <c r="H196" s="7">
        <f t="shared" si="3"/>
        <v>-2.7088817038944443E-3</v>
      </c>
      <c r="I196" s="7">
        <f t="shared" si="3"/>
        <v>8.9431490364422529E-3</v>
      </c>
    </row>
    <row r="197" spans="1:9" ht="14.5" x14ac:dyDescent="0.35">
      <c r="A197" s="10" t="s">
        <v>158</v>
      </c>
      <c r="B197" s="10">
        <v>592.20000000000005</v>
      </c>
      <c r="C197" s="10">
        <v>122.95</v>
      </c>
      <c r="D197" s="10"/>
      <c r="H197" s="7">
        <f t="shared" si="3"/>
        <v>3.9761483796394168E-3</v>
      </c>
      <c r="I197" s="7">
        <f t="shared" si="3"/>
        <v>-4.8681637724174651E-3</v>
      </c>
    </row>
    <row r="198" spans="1:9" ht="14.5" x14ac:dyDescent="0.35">
      <c r="A198" s="10" t="s">
        <v>159</v>
      </c>
      <c r="B198" s="10">
        <v>600.45000000000005</v>
      </c>
      <c r="C198" s="10">
        <v>122</v>
      </c>
      <c r="D198" s="10"/>
      <c r="H198" s="7">
        <f t="shared" si="3"/>
        <v>1.3834958439201501E-2</v>
      </c>
      <c r="I198" s="7">
        <f t="shared" si="3"/>
        <v>-7.7567239289450321E-3</v>
      </c>
    </row>
    <row r="199" spans="1:9" ht="14.5" x14ac:dyDescent="0.35">
      <c r="A199" s="10" t="s">
        <v>160</v>
      </c>
      <c r="B199" s="10">
        <v>594.35</v>
      </c>
      <c r="C199" s="10">
        <v>120.4</v>
      </c>
      <c r="D199" s="10"/>
      <c r="H199" s="7">
        <f t="shared" si="3"/>
        <v>-1.0211002680058976E-2</v>
      </c>
      <c r="I199" s="7">
        <f t="shared" si="3"/>
        <v>-1.3201511858535842E-2</v>
      </c>
    </row>
    <row r="200" spans="1:9" ht="14.5" x14ac:dyDescent="0.35">
      <c r="A200" s="10" t="s">
        <v>161</v>
      </c>
      <c r="B200" s="10">
        <v>568.70000000000005</v>
      </c>
      <c r="C200" s="10">
        <v>121</v>
      </c>
      <c r="D200" s="10"/>
      <c r="H200" s="7">
        <f t="shared" si="3"/>
        <v>-4.4115317113879254E-2</v>
      </c>
      <c r="I200" s="7">
        <f t="shared" si="3"/>
        <v>4.9710127220204021E-3</v>
      </c>
    </row>
    <row r="201" spans="1:9" ht="14.5" x14ac:dyDescent="0.35">
      <c r="A201" s="10" t="s">
        <v>162</v>
      </c>
      <c r="B201" s="10">
        <v>539.95000000000005</v>
      </c>
      <c r="C201" s="10">
        <v>120.65</v>
      </c>
      <c r="D201" s="10"/>
      <c r="H201" s="7">
        <f t="shared" si="3"/>
        <v>-5.1876511633985274E-2</v>
      </c>
      <c r="I201" s="7">
        <f t="shared" si="3"/>
        <v>-2.8967535257002608E-3</v>
      </c>
    </row>
    <row r="202" spans="1:9" ht="14.5" x14ac:dyDescent="0.35">
      <c r="A202" s="10" t="s">
        <v>163</v>
      </c>
      <c r="B202" s="10">
        <v>538.20000000000005</v>
      </c>
      <c r="C202" s="10">
        <v>118.75</v>
      </c>
      <c r="D202" s="10"/>
      <c r="H202" s="7">
        <f t="shared" si="3"/>
        <v>-3.2463043859632789E-3</v>
      </c>
      <c r="I202" s="7">
        <f t="shared" si="3"/>
        <v>-1.5873349156290233E-2</v>
      </c>
    </row>
    <row r="203" spans="1:9" ht="14.5" x14ac:dyDescent="0.35">
      <c r="A203" s="10" t="s">
        <v>164</v>
      </c>
      <c r="B203" s="10">
        <v>553.5</v>
      </c>
      <c r="C203" s="10">
        <v>119.7</v>
      </c>
      <c r="D203" s="10"/>
      <c r="H203" s="7">
        <f t="shared" si="3"/>
        <v>2.8031513855886009E-2</v>
      </c>
      <c r="I203" s="7">
        <f t="shared" si="3"/>
        <v>7.9681696491768813E-3</v>
      </c>
    </row>
    <row r="204" spans="1:9" ht="14.5" x14ac:dyDescent="0.35">
      <c r="A204" s="11">
        <v>44928</v>
      </c>
      <c r="B204" s="10">
        <v>527.35</v>
      </c>
      <c r="C204" s="10">
        <v>122.05</v>
      </c>
      <c r="D204" s="10"/>
      <c r="H204" s="7">
        <f t="shared" si="3"/>
        <v>-4.8397287426068303E-2</v>
      </c>
      <c r="I204" s="7">
        <f t="shared" si="3"/>
        <v>1.9442184275041473E-2</v>
      </c>
    </row>
    <row r="205" spans="1:9" ht="14.5" x14ac:dyDescent="0.35">
      <c r="A205" s="11">
        <v>44959</v>
      </c>
      <c r="B205" s="10">
        <v>528.1</v>
      </c>
      <c r="C205" s="10">
        <v>119.95</v>
      </c>
      <c r="D205" s="10"/>
      <c r="H205" s="7">
        <f t="shared" si="3"/>
        <v>1.4211949902643104E-3</v>
      </c>
      <c r="I205" s="7">
        <f t="shared" si="3"/>
        <v>-1.7355807553265441E-2</v>
      </c>
    </row>
    <row r="206" spans="1:9" ht="14.5" x14ac:dyDescent="0.35">
      <c r="A206" s="11">
        <v>44987</v>
      </c>
      <c r="B206" s="10">
        <v>544.20000000000005</v>
      </c>
      <c r="C206" s="10">
        <v>120.35</v>
      </c>
      <c r="D206" s="10"/>
      <c r="H206" s="7">
        <f t="shared" si="3"/>
        <v>3.0031166636258395E-2</v>
      </c>
      <c r="I206" s="7">
        <f t="shared" si="3"/>
        <v>3.3291749433773136E-3</v>
      </c>
    </row>
    <row r="207" spans="1:9" ht="14.5" x14ac:dyDescent="0.35">
      <c r="A207" s="11">
        <v>45079</v>
      </c>
      <c r="B207" s="10">
        <v>545.4</v>
      </c>
      <c r="C207" s="10">
        <v>117.45</v>
      </c>
      <c r="D207" s="10"/>
      <c r="H207" s="7">
        <f t="shared" si="3"/>
        <v>2.2026440623420965E-3</v>
      </c>
      <c r="I207" s="7">
        <f t="shared" si="3"/>
        <v>-2.4391453124159124E-2</v>
      </c>
    </row>
    <row r="208" spans="1:9" ht="14.5" x14ac:dyDescent="0.35">
      <c r="A208" s="11">
        <v>45109</v>
      </c>
      <c r="B208" s="10">
        <v>547.1</v>
      </c>
      <c r="C208" s="10">
        <v>111.45</v>
      </c>
      <c r="D208" s="10"/>
      <c r="H208" s="7">
        <f t="shared" si="3"/>
        <v>3.1121306582922799E-3</v>
      </c>
      <c r="I208" s="7">
        <f t="shared" si="3"/>
        <v>-5.2436651273043963E-2</v>
      </c>
    </row>
    <row r="209" spans="1:9" ht="14.5" x14ac:dyDescent="0.35">
      <c r="A209" s="11">
        <v>45140</v>
      </c>
      <c r="B209" s="10">
        <v>549.75</v>
      </c>
      <c r="C209" s="10">
        <v>111.45</v>
      </c>
      <c r="D209" s="10"/>
      <c r="H209" s="7">
        <f t="shared" si="3"/>
        <v>4.8320283650902657E-3</v>
      </c>
      <c r="I209" s="7">
        <f t="shared" si="3"/>
        <v>0</v>
      </c>
    </row>
    <row r="210" spans="1:9" ht="14.5" x14ac:dyDescent="0.35">
      <c r="A210" s="11">
        <v>45171</v>
      </c>
      <c r="B210" s="10">
        <v>550.79999999999995</v>
      </c>
      <c r="C210" s="10">
        <v>111.25</v>
      </c>
      <c r="D210" s="10"/>
      <c r="H210" s="7">
        <f t="shared" si="3"/>
        <v>1.908137419629134E-3</v>
      </c>
      <c r="I210" s="7">
        <f t="shared" si="3"/>
        <v>-1.7961387855282989E-3</v>
      </c>
    </row>
    <row r="211" spans="1:9" ht="14.5" x14ac:dyDescent="0.35">
      <c r="A211" s="11">
        <v>45201</v>
      </c>
      <c r="B211" s="10">
        <v>553.04999999999995</v>
      </c>
      <c r="C211" s="10">
        <v>108.8</v>
      </c>
      <c r="D211" s="10"/>
      <c r="H211" s="7">
        <f t="shared" si="3"/>
        <v>4.0766464937634153E-3</v>
      </c>
      <c r="I211" s="7">
        <f t="shared" si="3"/>
        <v>-2.2268586624507401E-2</v>
      </c>
    </row>
    <row r="212" spans="1:9" ht="14.5" x14ac:dyDescent="0.35">
      <c r="A212" s="10" t="s">
        <v>165</v>
      </c>
      <c r="B212" s="10">
        <v>537.5</v>
      </c>
      <c r="C212" s="10">
        <v>108.75</v>
      </c>
      <c r="D212" s="10"/>
      <c r="H212" s="7">
        <f t="shared" si="3"/>
        <v>-2.8519653346445288E-2</v>
      </c>
      <c r="I212" s="7">
        <f t="shared" si="3"/>
        <v>-4.5966445304880451E-4</v>
      </c>
    </row>
    <row r="213" spans="1:9" ht="14.5" x14ac:dyDescent="0.35">
      <c r="A213" s="10" t="s">
        <v>166</v>
      </c>
      <c r="B213" s="10">
        <v>540.85</v>
      </c>
      <c r="C213" s="10">
        <v>109.25</v>
      </c>
      <c r="D213" s="10"/>
      <c r="H213" s="7">
        <f t="shared" si="3"/>
        <v>6.2132160744806557E-3</v>
      </c>
      <c r="I213" s="7">
        <f t="shared" si="3"/>
        <v>4.5871640069061401E-3</v>
      </c>
    </row>
    <row r="214" spans="1:9" ht="14.5" x14ac:dyDescent="0.35">
      <c r="A214" s="10" t="s">
        <v>167</v>
      </c>
      <c r="B214" s="10">
        <v>542.25</v>
      </c>
      <c r="C214" s="10">
        <v>110.3</v>
      </c>
      <c r="D214" s="10"/>
      <c r="H214" s="7">
        <f t="shared" si="3"/>
        <v>2.5851736306850867E-3</v>
      </c>
      <c r="I214" s="7">
        <f t="shared" si="3"/>
        <v>9.5650922837572459E-3</v>
      </c>
    </row>
    <row r="215" spans="1:9" ht="14.5" x14ac:dyDescent="0.35">
      <c r="A215" s="10" t="s">
        <v>168</v>
      </c>
      <c r="B215" s="10">
        <v>540.1</v>
      </c>
      <c r="C215" s="10">
        <v>112</v>
      </c>
      <c r="D215" s="10"/>
      <c r="H215" s="7">
        <f t="shared" si="3"/>
        <v>-3.9728421081383063E-3</v>
      </c>
      <c r="I215" s="7">
        <f t="shared" si="3"/>
        <v>1.5294945035637861E-2</v>
      </c>
    </row>
    <row r="216" spans="1:9" ht="14.5" x14ac:dyDescent="0.35">
      <c r="A216" s="10" t="s">
        <v>169</v>
      </c>
      <c r="B216" s="10">
        <v>531</v>
      </c>
      <c r="C216" s="10">
        <v>112.25</v>
      </c>
      <c r="D216" s="10"/>
      <c r="H216" s="7">
        <f t="shared" si="3"/>
        <v>-1.69922863569066E-2</v>
      </c>
      <c r="I216" s="7">
        <f t="shared" si="3"/>
        <v>2.2296553272690683E-3</v>
      </c>
    </row>
    <row r="217" spans="1:9" ht="14.5" x14ac:dyDescent="0.35">
      <c r="A217" s="10" t="s">
        <v>170</v>
      </c>
      <c r="B217" s="10">
        <v>525.15</v>
      </c>
      <c r="C217" s="10">
        <v>112.35</v>
      </c>
      <c r="D217" s="10"/>
      <c r="H217" s="7">
        <f t="shared" si="3"/>
        <v>-1.1078085173154452E-2</v>
      </c>
      <c r="I217" s="7">
        <f t="shared" si="3"/>
        <v>8.9047200897435306E-4</v>
      </c>
    </row>
    <row r="218" spans="1:9" ht="14.5" x14ac:dyDescent="0.35">
      <c r="A218" s="10" t="s">
        <v>171</v>
      </c>
      <c r="B218" s="10">
        <v>523.45000000000005</v>
      </c>
      <c r="C218" s="10">
        <v>113.15</v>
      </c>
      <c r="D218" s="10"/>
      <c r="H218" s="7">
        <f t="shared" si="3"/>
        <v>-3.2424213034202829E-3</v>
      </c>
      <c r="I218" s="7">
        <f t="shared" si="3"/>
        <v>7.0953734482083631E-3</v>
      </c>
    </row>
    <row r="219" spans="1:9" ht="14.5" x14ac:dyDescent="0.35">
      <c r="A219" s="10" t="s">
        <v>172</v>
      </c>
      <c r="B219" s="10">
        <v>516.35</v>
      </c>
      <c r="C219" s="10">
        <v>111.15</v>
      </c>
      <c r="D219" s="10"/>
      <c r="H219" s="7">
        <f t="shared" si="3"/>
        <v>-1.3656684647950964E-2</v>
      </c>
      <c r="I219" s="7">
        <f t="shared" si="3"/>
        <v>-1.7833731669340849E-2</v>
      </c>
    </row>
    <row r="220" spans="1:9" ht="14.5" x14ac:dyDescent="0.35">
      <c r="A220" s="10" t="s">
        <v>173</v>
      </c>
      <c r="B220" s="10">
        <v>521</v>
      </c>
      <c r="C220" s="10">
        <v>112.05</v>
      </c>
      <c r="D220" s="10"/>
      <c r="H220" s="7">
        <f t="shared" si="3"/>
        <v>8.9652116359539222E-3</v>
      </c>
      <c r="I220" s="7">
        <f t="shared" si="3"/>
        <v>8.0645598367302743E-3</v>
      </c>
    </row>
    <row r="221" spans="1:9" ht="14.5" x14ac:dyDescent="0.35">
      <c r="A221" s="10" t="s">
        <v>174</v>
      </c>
      <c r="B221" s="10">
        <v>521.04999999999995</v>
      </c>
      <c r="C221" s="10">
        <v>109.75</v>
      </c>
      <c r="D221" s="10"/>
      <c r="H221" s="7">
        <f t="shared" si="3"/>
        <v>9.5964685069559733E-5</v>
      </c>
      <c r="I221" s="7">
        <f t="shared" si="3"/>
        <v>-2.0740148291655269E-2</v>
      </c>
    </row>
    <row r="222" spans="1:9" ht="14.5" x14ac:dyDescent="0.35">
      <c r="A222" s="10" t="s">
        <v>175</v>
      </c>
      <c r="B222" s="10">
        <v>527.70000000000005</v>
      </c>
      <c r="C222" s="10">
        <v>106.1</v>
      </c>
      <c r="D222" s="10"/>
      <c r="H222" s="7">
        <f t="shared" si="3"/>
        <v>1.2681933973185868E-2</v>
      </c>
      <c r="I222" s="7">
        <f t="shared" si="3"/>
        <v>-3.3823006335343339E-2</v>
      </c>
    </row>
    <row r="223" spans="1:9" ht="14.5" x14ac:dyDescent="0.35">
      <c r="A223" s="10" t="s">
        <v>176</v>
      </c>
      <c r="B223" s="10">
        <v>522.79999999999995</v>
      </c>
      <c r="C223" s="10">
        <v>103.95</v>
      </c>
      <c r="D223" s="10"/>
      <c r="H223" s="7">
        <f t="shared" si="3"/>
        <v>-9.3289586615555153E-3</v>
      </c>
      <c r="I223" s="7">
        <f t="shared" si="3"/>
        <v>-2.0472031315915427E-2</v>
      </c>
    </row>
    <row r="224" spans="1:9" ht="14.5" x14ac:dyDescent="0.35">
      <c r="A224" s="11">
        <v>44929</v>
      </c>
      <c r="B224" s="10">
        <v>536.70000000000005</v>
      </c>
      <c r="C224" s="10">
        <v>105.5</v>
      </c>
      <c r="D224" s="10"/>
      <c r="H224" s="7">
        <f t="shared" si="3"/>
        <v>2.6240297432716376E-2</v>
      </c>
      <c r="I224" s="7">
        <f t="shared" si="3"/>
        <v>1.4800938612099331E-2</v>
      </c>
    </row>
    <row r="225" spans="1:9" ht="14.5" x14ac:dyDescent="0.35">
      <c r="A225" s="11">
        <v>44960</v>
      </c>
      <c r="B225" s="10">
        <v>533.75</v>
      </c>
      <c r="C225" s="10">
        <v>104.65</v>
      </c>
      <c r="D225" s="10"/>
      <c r="H225" s="7">
        <f t="shared" si="3"/>
        <v>-5.5117146399489801E-3</v>
      </c>
      <c r="I225" s="7">
        <f t="shared" si="3"/>
        <v>-8.089504024112364E-3</v>
      </c>
    </row>
    <row r="226" spans="1:9" ht="14.5" x14ac:dyDescent="0.35">
      <c r="A226" s="11">
        <v>44988</v>
      </c>
      <c r="B226" s="10">
        <v>561.20000000000005</v>
      </c>
      <c r="C226" s="10">
        <v>107</v>
      </c>
      <c r="D226" s="10"/>
      <c r="H226" s="7">
        <f t="shared" si="3"/>
        <v>5.0149783685471731E-2</v>
      </c>
      <c r="I226" s="7">
        <f t="shared" si="3"/>
        <v>2.2207385569897452E-2</v>
      </c>
    </row>
    <row r="227" spans="1:9" ht="14.5" x14ac:dyDescent="0.35">
      <c r="A227" s="11">
        <v>45080</v>
      </c>
      <c r="B227" s="10">
        <v>561.70000000000005</v>
      </c>
      <c r="C227" s="10">
        <v>105.65</v>
      </c>
      <c r="D227" s="10"/>
      <c r="H227" s="7">
        <f t="shared" si="3"/>
        <v>8.9055131008106288E-4</v>
      </c>
      <c r="I227" s="7">
        <f t="shared" si="3"/>
        <v>-1.2697090399840396E-2</v>
      </c>
    </row>
    <row r="228" spans="1:9" ht="14.5" x14ac:dyDescent="0.35">
      <c r="A228" s="11">
        <v>45141</v>
      </c>
      <c r="B228" s="10">
        <v>564.79999999999995</v>
      </c>
      <c r="C228" s="10">
        <v>106.5</v>
      </c>
      <c r="D228" s="10"/>
      <c r="H228" s="7">
        <f t="shared" si="3"/>
        <v>5.5037866406451794E-3</v>
      </c>
      <c r="I228" s="7">
        <f t="shared" si="3"/>
        <v>8.0132410874140837E-3</v>
      </c>
    </row>
    <row r="229" spans="1:9" ht="14.5" x14ac:dyDescent="0.35">
      <c r="A229" s="11">
        <v>45172</v>
      </c>
      <c r="B229" s="10">
        <v>558.9</v>
      </c>
      <c r="C229" s="10">
        <v>108.2</v>
      </c>
      <c r="D229" s="10"/>
      <c r="H229" s="7">
        <f t="shared" si="3"/>
        <v>-1.0501119903379784E-2</v>
      </c>
      <c r="I229" s="7">
        <f t="shared" si="3"/>
        <v>1.5836381262901395E-2</v>
      </c>
    </row>
    <row r="230" spans="1:9" ht="14.5" x14ac:dyDescent="0.35">
      <c r="A230" s="11">
        <v>45202</v>
      </c>
      <c r="B230" s="10">
        <v>547.35</v>
      </c>
      <c r="C230" s="10">
        <v>108.1</v>
      </c>
      <c r="D230" s="10"/>
      <c r="H230" s="7">
        <f t="shared" si="3"/>
        <v>-2.0882114725085991E-2</v>
      </c>
      <c r="I230" s="7">
        <f t="shared" si="3"/>
        <v>-9.246417672186762E-4</v>
      </c>
    </row>
    <row r="231" spans="1:9" ht="14.5" x14ac:dyDescent="0.35">
      <c r="A231" s="10" t="s">
        <v>177</v>
      </c>
      <c r="B231" s="10">
        <v>530</v>
      </c>
      <c r="C231" s="10">
        <v>106.8</v>
      </c>
      <c r="D231" s="10"/>
      <c r="H231" s="7">
        <f t="shared" si="3"/>
        <v>-3.2211445004398903E-2</v>
      </c>
      <c r="I231" s="7">
        <f t="shared" si="3"/>
        <v>-1.2098798119068064E-2</v>
      </c>
    </row>
    <row r="232" spans="1:9" ht="14.5" x14ac:dyDescent="0.35">
      <c r="A232" s="10" t="s">
        <v>178</v>
      </c>
      <c r="B232" s="10">
        <v>525.4</v>
      </c>
      <c r="C232" s="10">
        <v>106.4</v>
      </c>
      <c r="D232" s="10"/>
      <c r="H232" s="7">
        <f t="shared" si="3"/>
        <v>-8.7171292947280481E-3</v>
      </c>
      <c r="I232" s="7">
        <f t="shared" si="3"/>
        <v>-3.7523496185503527E-3</v>
      </c>
    </row>
    <row r="233" spans="1:9" ht="14.5" x14ac:dyDescent="0.35">
      <c r="A233" s="10" t="s">
        <v>179</v>
      </c>
      <c r="B233" s="10">
        <v>517.54999999999995</v>
      </c>
      <c r="C233" s="10">
        <v>108.65</v>
      </c>
      <c r="D233" s="10"/>
      <c r="H233" s="7">
        <f t="shared" si="3"/>
        <v>-1.5053738421680356E-2</v>
      </c>
      <c r="I233" s="7">
        <f t="shared" si="3"/>
        <v>2.0926129794894666E-2</v>
      </c>
    </row>
    <row r="234" spans="1:9" ht="14.5" x14ac:dyDescent="0.35">
      <c r="A234" s="10" t="s">
        <v>180</v>
      </c>
      <c r="B234" s="10">
        <v>524.5</v>
      </c>
      <c r="C234" s="10">
        <v>105.05</v>
      </c>
      <c r="D234" s="10"/>
      <c r="H234" s="7">
        <f t="shared" si="3"/>
        <v>1.33392890065928E-2</v>
      </c>
      <c r="I234" s="7">
        <f t="shared" si="3"/>
        <v>-3.3695279411429267E-2</v>
      </c>
    </row>
    <row r="235" spans="1:9" ht="14.5" x14ac:dyDescent="0.35">
      <c r="A235" s="10" t="s">
        <v>181</v>
      </c>
      <c r="B235" s="10">
        <v>529.79999999999995</v>
      </c>
      <c r="C235" s="10">
        <v>107</v>
      </c>
      <c r="D235" s="10"/>
      <c r="H235" s="7">
        <f t="shared" si="3"/>
        <v>1.0054149001617413E-2</v>
      </c>
      <c r="I235" s="7">
        <f t="shared" si="3"/>
        <v>1.8392407170896755E-2</v>
      </c>
    </row>
    <row r="236" spans="1:9" ht="14.5" x14ac:dyDescent="0.35">
      <c r="A236" s="10" t="s">
        <v>182</v>
      </c>
      <c r="B236" s="10">
        <v>519.20000000000005</v>
      </c>
      <c r="C236" s="10">
        <v>104.5</v>
      </c>
      <c r="D236" s="10"/>
      <c r="H236" s="7">
        <f t="shared" si="3"/>
        <v>-2.0210411448088928E-2</v>
      </c>
      <c r="I236" s="7">
        <f t="shared" si="3"/>
        <v>-2.3641763057040424E-2</v>
      </c>
    </row>
    <row r="237" spans="1:9" ht="14.5" x14ac:dyDescent="0.35">
      <c r="A237" s="10" t="s">
        <v>183</v>
      </c>
      <c r="B237" s="10">
        <v>521.85</v>
      </c>
      <c r="C237" s="10">
        <v>104.75</v>
      </c>
      <c r="D237" s="10"/>
      <c r="H237" s="7">
        <f t="shared" si="3"/>
        <v>5.0910248761803613E-3</v>
      </c>
      <c r="I237" s="7">
        <f t="shared" si="3"/>
        <v>2.3894873973814854E-3</v>
      </c>
    </row>
    <row r="238" spans="1:9" ht="14.5" x14ac:dyDescent="0.35">
      <c r="A238" s="10" t="s">
        <v>184</v>
      </c>
      <c r="B238" s="10">
        <v>521.54999999999995</v>
      </c>
      <c r="C238" s="10">
        <v>104.8</v>
      </c>
      <c r="D238" s="10"/>
      <c r="H238" s="7">
        <f t="shared" si="3"/>
        <v>-5.7504314408074627E-4</v>
      </c>
      <c r="I238" s="7">
        <f t="shared" si="3"/>
        <v>4.7721308469466392E-4</v>
      </c>
    </row>
    <row r="239" spans="1:9" ht="14.5" x14ac:dyDescent="0.35">
      <c r="A239" s="10" t="s">
        <v>185</v>
      </c>
      <c r="B239" s="10">
        <v>512.75</v>
      </c>
      <c r="C239" s="10">
        <v>104.9</v>
      </c>
      <c r="D239" s="10"/>
      <c r="H239" s="7">
        <f t="shared" si="3"/>
        <v>-1.7016750169490044E-2</v>
      </c>
      <c r="I239" s="7">
        <f t="shared" si="3"/>
        <v>9.537435153098568E-4</v>
      </c>
    </row>
    <row r="240" spans="1:9" ht="14.5" x14ac:dyDescent="0.35">
      <c r="A240" s="10" t="s">
        <v>186</v>
      </c>
      <c r="B240" s="10">
        <v>505.35</v>
      </c>
      <c r="C240" s="10">
        <v>102.1</v>
      </c>
      <c r="D240" s="10"/>
      <c r="H240" s="7">
        <f t="shared" si="3"/>
        <v>-1.4537138431818364E-2</v>
      </c>
      <c r="I240" s="7">
        <f t="shared" si="3"/>
        <v>-2.7054790231631775E-2</v>
      </c>
    </row>
    <row r="241" spans="1:9" ht="14.5" x14ac:dyDescent="0.35">
      <c r="A241" s="10" t="s">
        <v>187</v>
      </c>
      <c r="B241" s="10">
        <v>510.15</v>
      </c>
      <c r="C241" s="10">
        <v>102.3</v>
      </c>
      <c r="D241" s="10"/>
      <c r="H241" s="7">
        <f t="shared" si="3"/>
        <v>9.4535416006424587E-3</v>
      </c>
      <c r="I241" s="7">
        <f t="shared" si="3"/>
        <v>1.956947786960947E-3</v>
      </c>
    </row>
    <row r="242" spans="1:9" ht="14.5" x14ac:dyDescent="0.35">
      <c r="A242" s="10" t="s">
        <v>188</v>
      </c>
      <c r="B242" s="10">
        <v>508.1</v>
      </c>
      <c r="C242" s="10">
        <v>102.5</v>
      </c>
      <c r="D242" s="10"/>
      <c r="H242" s="7">
        <f t="shared" si="3"/>
        <v>-4.0265215216278493E-3</v>
      </c>
      <c r="I242" s="7">
        <f t="shared" si="3"/>
        <v>1.9531256208820701E-3</v>
      </c>
    </row>
    <row r="243" spans="1:9" ht="14.5" x14ac:dyDescent="0.35">
      <c r="A243" s="10" t="s">
        <v>189</v>
      </c>
      <c r="B243" s="10">
        <v>516.5</v>
      </c>
      <c r="C243" s="10">
        <v>103.6</v>
      </c>
      <c r="D243" s="10"/>
      <c r="H243" s="7">
        <f t="shared" si="3"/>
        <v>1.6397009960006943E-2</v>
      </c>
      <c r="I243" s="7">
        <f t="shared" si="3"/>
        <v>1.0674531246919824E-2</v>
      </c>
    </row>
    <row r="244" spans="1:9" ht="14.5" x14ac:dyDescent="0.35">
      <c r="A244" s="10" t="s">
        <v>190</v>
      </c>
      <c r="B244" s="10">
        <v>523.75</v>
      </c>
      <c r="C244" s="10">
        <v>104.5</v>
      </c>
      <c r="D244" s="10"/>
      <c r="H244" s="7">
        <f t="shared" si="3"/>
        <v>1.3939182676654345E-2</v>
      </c>
      <c r="I244" s="7">
        <f t="shared" si="3"/>
        <v>8.6497415794831584E-3</v>
      </c>
    </row>
    <row r="245" spans="1:9" ht="14.5" x14ac:dyDescent="0.35">
      <c r="A245" s="11">
        <v>44989</v>
      </c>
      <c r="B245" s="10">
        <v>526.75</v>
      </c>
      <c r="C245" s="10">
        <v>104.1</v>
      </c>
      <c r="D245" s="10"/>
      <c r="H245" s="7">
        <f t="shared" si="3"/>
        <v>5.7115814479510021E-3</v>
      </c>
      <c r="I245" s="7">
        <f t="shared" si="3"/>
        <v>-3.8350957839425374E-3</v>
      </c>
    </row>
    <row r="246" spans="1:9" ht="14.5" x14ac:dyDescent="0.35">
      <c r="A246" s="11">
        <v>45050</v>
      </c>
      <c r="B246" s="10">
        <v>523</v>
      </c>
      <c r="C246" s="10">
        <v>104.85</v>
      </c>
      <c r="D246" s="10"/>
      <c r="H246" s="7">
        <f t="shared" si="3"/>
        <v>-7.1445886193755607E-3</v>
      </c>
      <c r="I246" s="7">
        <f t="shared" si="3"/>
        <v>7.1787817270057702E-3</v>
      </c>
    </row>
    <row r="247" spans="1:9" ht="14.5" x14ac:dyDescent="0.35">
      <c r="A247" s="11">
        <v>45081</v>
      </c>
      <c r="B247" s="10">
        <v>527.65</v>
      </c>
      <c r="C247" s="10">
        <v>104.35</v>
      </c>
      <c r="D247" s="10"/>
      <c r="H247" s="7">
        <f t="shared" si="3"/>
        <v>8.8517210521762667E-3</v>
      </c>
      <c r="I247" s="7">
        <f t="shared" si="3"/>
        <v>-4.78012382471916E-3</v>
      </c>
    </row>
    <row r="248" spans="1:9" ht="14.5" x14ac:dyDescent="0.35">
      <c r="A248" s="11">
        <v>45203</v>
      </c>
      <c r="B248" s="10">
        <v>526.29999999999995</v>
      </c>
      <c r="C248" s="10">
        <v>104.95</v>
      </c>
      <c r="D248" s="10"/>
      <c r="H248" s="7">
        <f t="shared" si="3"/>
        <v>-2.5617927573659259E-3</v>
      </c>
      <c r="I248" s="7">
        <f t="shared" si="3"/>
        <v>5.733412743432414E-3</v>
      </c>
    </row>
    <row r="249" spans="1:9" ht="14.5" x14ac:dyDescent="0.35">
      <c r="A249" s="11">
        <v>45234</v>
      </c>
      <c r="B249" s="10">
        <v>532.1</v>
      </c>
      <c r="C249" s="10">
        <v>107.55</v>
      </c>
      <c r="D249" s="10"/>
      <c r="H249" s="7">
        <f t="shared" si="3"/>
        <v>1.0960049242590399E-2</v>
      </c>
      <c r="I249" s="7">
        <f t="shared" si="3"/>
        <v>2.4471809447096971E-2</v>
      </c>
    </row>
    <row r="250" spans="1:9" ht="14.5" x14ac:dyDescent="0.35">
      <c r="A250" s="11">
        <v>45264</v>
      </c>
      <c r="B250" s="10">
        <v>528.20000000000005</v>
      </c>
      <c r="C250" s="10">
        <v>107.6</v>
      </c>
      <c r="D250" s="10"/>
      <c r="H250" s="7">
        <f t="shared" si="3"/>
        <v>-7.3564417392917416E-3</v>
      </c>
      <c r="I250" s="7">
        <f t="shared" si="3"/>
        <v>4.6479201394500444E-4</v>
      </c>
    </row>
    <row r="252" spans="1:9" ht="13" x14ac:dyDescent="0.3">
      <c r="G252" s="7" t="s">
        <v>191</v>
      </c>
      <c r="H252" s="7">
        <f>AVERAGE(H5:H250)</f>
        <v>8.1622259980393115E-5</v>
      </c>
      <c r="I252" s="7">
        <f>AVERAGE(I5:I250)</f>
        <v>-8.2927811065710449E-4</v>
      </c>
    </row>
    <row r="254" spans="1:9" ht="13" x14ac:dyDescent="0.3">
      <c r="G254" s="7" t="s">
        <v>192</v>
      </c>
      <c r="H254" s="7">
        <f>(1+H252)^252-1</f>
        <v>2.0780948493311246E-2</v>
      </c>
      <c r="I254" s="7">
        <f>(1+I252)^252-1</f>
        <v>-0.18865732670001045</v>
      </c>
    </row>
    <row r="1048550" spans="16384:16384" ht="15.75" customHeight="1" x14ac:dyDescent="0.3">
      <c r="XFD1048550" s="1">
        <f>solver_pre</f>
        <v>9.9999999999999995E-7</v>
      </c>
    </row>
    <row r="1048551" spans="16384:16384" ht="15.75" customHeight="1" x14ac:dyDescent="0.3">
      <c r="XFD1048551" s="1">
        <f>solver_scl</f>
        <v>2</v>
      </c>
    </row>
    <row r="1048552" spans="16384:16384" ht="15.75" customHeight="1" x14ac:dyDescent="0.3">
      <c r="XFD1048552" s="1">
        <f>solver_rlx</f>
        <v>2</v>
      </c>
    </row>
    <row r="1048553" spans="16384:16384" ht="15.75" customHeight="1" x14ac:dyDescent="0.3">
      <c r="XFD1048553" s="1">
        <f>solver_tol</f>
        <v>0.01</v>
      </c>
    </row>
    <row r="1048554" spans="16384:16384" ht="15.75" customHeight="1" x14ac:dyDescent="0.3">
      <c r="XFD1048554" s="1">
        <f>solver_cvg</f>
        <v>1E-4</v>
      </c>
    </row>
    <row r="1048555" spans="16384:16384" ht="15.75" customHeight="1" x14ac:dyDescent="0.3">
      <c r="XFD1048555" s="1" t="e">
        <f>AREAS(solver_adj1)</f>
        <v>#NAME?</v>
      </c>
    </row>
    <row r="1048556" spans="16384:16384" ht="15.75" customHeight="1" x14ac:dyDescent="0.3">
      <c r="XFD1048556" s="1">
        <f>solver_ssz</f>
        <v>100</v>
      </c>
    </row>
    <row r="1048557" spans="16384:16384" ht="15.75" customHeight="1" x14ac:dyDescent="0.3">
      <c r="XFD1048557" s="1">
        <f>solver_rsd</f>
        <v>0</v>
      </c>
    </row>
    <row r="1048558" spans="16384:16384" ht="15.75" customHeight="1" x14ac:dyDescent="0.3">
      <c r="XFD1048558" s="1">
        <f>solver_mrt</f>
        <v>7.4999999999999997E-2</v>
      </c>
    </row>
    <row r="1048559" spans="16384:16384" ht="15.75" customHeight="1" x14ac:dyDescent="0.3">
      <c r="XFD1048559" s="1">
        <f>solver_mni</f>
        <v>30</v>
      </c>
    </row>
    <row r="1048560" spans="16384:16384" ht="15.75" customHeight="1" x14ac:dyDescent="0.3">
      <c r="XFD1048560" s="1">
        <f>solver_rbv</f>
        <v>2</v>
      </c>
    </row>
    <row r="1048561" spans="16384:16384" ht="15.75" customHeight="1" x14ac:dyDescent="0.3">
      <c r="XFD1048561" s="1">
        <f>solver_neg</f>
        <v>1</v>
      </c>
    </row>
    <row r="1048562" spans="16384:16384" ht="15.75" customHeight="1" x14ac:dyDescent="0.3">
      <c r="XFD1048562" s="1" t="e">
        <f>solver_ntr</f>
        <v>#NAME?</v>
      </c>
    </row>
    <row r="1048563" spans="16384:16384" ht="15.75" customHeight="1" x14ac:dyDescent="0.3">
      <c r="XFD1048563" s="1" t="e">
        <f>solver_acc</f>
        <v>#NAME?</v>
      </c>
    </row>
    <row r="1048564" spans="16384:16384" ht="15.75" customHeight="1" x14ac:dyDescent="0.3">
      <c r="XFD1048564" s="1" t="e">
        <f>solver_res</f>
        <v>#NAME?</v>
      </c>
    </row>
    <row r="1048565" spans="16384:16384" ht="15.75" customHeight="1" x14ac:dyDescent="0.3">
      <c r="XFD1048565" s="1" t="e">
        <f>solver_ars</f>
        <v>#NAME?</v>
      </c>
    </row>
    <row r="1048566" spans="16384:16384" ht="15.75" customHeight="1" x14ac:dyDescent="0.3">
      <c r="XFD1048566" s="1" t="e">
        <f>solver_sta</f>
        <v>#NAME?</v>
      </c>
    </row>
    <row r="1048567" spans="16384:16384" ht="15.75" customHeight="1" x14ac:dyDescent="0.3">
      <c r="XFD1048567" s="1" t="e">
        <f>solver_met</f>
        <v>#NAME?</v>
      </c>
    </row>
    <row r="1048568" spans="16384:16384" ht="15.75" customHeight="1" x14ac:dyDescent="0.3">
      <c r="XFD1048568" s="1" t="e">
        <f>solver_soc</f>
        <v>#NAME?</v>
      </c>
    </row>
    <row r="1048569" spans="16384:16384" ht="15.75" customHeight="1" x14ac:dyDescent="0.3">
      <c r="XFD1048569" s="1" t="e">
        <f>solver_lpt</f>
        <v>#NAME?</v>
      </c>
    </row>
    <row r="1048570" spans="16384:16384" ht="15.75" customHeight="1" x14ac:dyDescent="0.3">
      <c r="XFD1048570" s="1" t="e">
        <f>solver_lpp</f>
        <v>#NAME?</v>
      </c>
    </row>
    <row r="1048571" spans="16384:16384" ht="15.75" customHeight="1" x14ac:dyDescent="0.3">
      <c r="XFD1048571" s="1" t="e">
        <f>solver_gap</f>
        <v>#NAME?</v>
      </c>
    </row>
    <row r="1048572" spans="16384:16384" ht="15.75" customHeight="1" x14ac:dyDescent="0.3">
      <c r="XFD1048572" s="1" t="e">
        <f>solver_ips</f>
        <v>#NAME?</v>
      </c>
    </row>
    <row r="1048573" spans="16384:16384" ht="15.75" customHeight="1" x14ac:dyDescent="0.3">
      <c r="XFD1048573" s="1" t="e">
        <f>solver_fea</f>
        <v>#NAME?</v>
      </c>
    </row>
    <row r="1048574" spans="16384:16384" ht="15.75" customHeight="1" x14ac:dyDescent="0.3">
      <c r="XFD1048574" s="1" t="e">
        <f>solver_ipi</f>
        <v>#NAME?</v>
      </c>
    </row>
    <row r="1048575" spans="16384:16384" ht="15.75" customHeight="1" x14ac:dyDescent="0.3">
      <c r="XFD1048575" s="1" t="e">
        <f>solver_ipd</f>
        <v>#NAME?</v>
      </c>
    </row>
  </sheetData>
  <mergeCells count="1">
    <mergeCell ref="I1:J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D0384-B060-42D6-A891-93C86C40F5F6}">
  <dimension ref="A2:O251"/>
  <sheetViews>
    <sheetView zoomScale="76" zoomScaleNormal="76" workbookViewId="0">
      <selection activeCell="I7" sqref="I7"/>
    </sheetView>
  </sheetViews>
  <sheetFormatPr defaultColWidth="9.1796875" defaultRowHeight="12.5" customHeight="1" x14ac:dyDescent="0.3"/>
  <cols>
    <col min="1" max="1" width="11.81640625" style="1" customWidth="1"/>
    <col min="2" max="2" width="8.81640625" style="1" bestFit="1" customWidth="1"/>
    <col min="3" max="3" width="13.26953125" style="1" customWidth="1"/>
    <col min="4" max="4" width="9.1796875" style="1" customWidth="1"/>
    <col min="5" max="5" width="20" style="1" customWidth="1"/>
    <col min="6" max="6" width="15.1796875" style="1" bestFit="1" customWidth="1"/>
    <col min="7" max="7" width="12.26953125" style="1" customWidth="1"/>
    <col min="8" max="9" width="9.1796875" style="1" customWidth="1"/>
    <col min="10" max="11" width="8.81640625" style="1" bestFit="1" customWidth="1"/>
    <col min="12" max="12" width="13.08984375" style="1" customWidth="1"/>
    <col min="13" max="14" width="15.1796875" style="1" bestFit="1" customWidth="1"/>
    <col min="15" max="15" width="9.1796875" style="1" customWidth="1"/>
    <col min="16" max="16384" width="9.1796875" style="1"/>
  </cols>
  <sheetData>
    <row r="2" spans="1:15" ht="13" x14ac:dyDescent="0.3">
      <c r="B2" s="17" t="s">
        <v>193</v>
      </c>
      <c r="C2" s="17" t="s">
        <v>194</v>
      </c>
      <c r="F2" s="17" t="s">
        <v>26</v>
      </c>
      <c r="G2" s="17" t="s">
        <v>27</v>
      </c>
    </row>
    <row r="3" spans="1:15" ht="13" x14ac:dyDescent="0.3">
      <c r="A3" s="1" t="s">
        <v>0</v>
      </c>
      <c r="B3" s="1" t="s">
        <v>28</v>
      </c>
      <c r="C3" s="1" t="s">
        <v>28</v>
      </c>
    </row>
    <row r="4" spans="1:15" ht="13" x14ac:dyDescent="0.3">
      <c r="A4" s="18">
        <v>45033</v>
      </c>
      <c r="B4" s="1">
        <v>544</v>
      </c>
      <c r="C4" s="1">
        <v>107.5</v>
      </c>
    </row>
    <row r="5" spans="1:15" ht="13" x14ac:dyDescent="0.3">
      <c r="A5" s="18">
        <v>45034</v>
      </c>
      <c r="B5" s="1">
        <v>545.84997599999997</v>
      </c>
      <c r="C5" s="1">
        <v>107.150002</v>
      </c>
      <c r="F5" s="1">
        <f>LN(B5/B4)</f>
        <v>3.3949219022117987E-3</v>
      </c>
      <c r="G5" s="1">
        <f>LN(C5/C4)</f>
        <v>-3.2611069827093667E-3</v>
      </c>
      <c r="J5" s="7" t="s">
        <v>31</v>
      </c>
      <c r="K5" s="7" t="s">
        <v>32</v>
      </c>
      <c r="M5" s="7" t="s">
        <v>33</v>
      </c>
    </row>
    <row r="6" spans="1:15" ht="13" x14ac:dyDescent="0.3">
      <c r="A6" s="18">
        <v>45035</v>
      </c>
      <c r="B6" s="1">
        <v>540.29998799999998</v>
      </c>
      <c r="C6" s="1">
        <v>107.599998</v>
      </c>
      <c r="F6" s="1">
        <f t="shared" ref="F6:F69" si="0">LN(B6/B5)</f>
        <v>-1.0219650118017998E-2</v>
      </c>
      <c r="G6" s="1">
        <f t="shared" ref="G6:G69" si="1">LN(C6/C5)</f>
        <v>4.1908885553150876E-3</v>
      </c>
      <c r="J6" s="7">
        <f>F251</f>
        <v>0.42419943184917663</v>
      </c>
      <c r="K6" s="7">
        <v>1</v>
      </c>
      <c r="M6" s="7">
        <f>J6*K6</f>
        <v>0.42419943184917663</v>
      </c>
      <c r="O6" s="1" t="s">
        <v>195</v>
      </c>
    </row>
    <row r="7" spans="1:15" ht="13" x14ac:dyDescent="0.3">
      <c r="A7" s="18">
        <v>45036</v>
      </c>
      <c r="B7" s="1">
        <v>544.79998799999998</v>
      </c>
      <c r="C7" s="1">
        <v>108.099998</v>
      </c>
      <c r="F7" s="1">
        <f t="shared" si="0"/>
        <v>8.2942141687341892E-3</v>
      </c>
      <c r="G7" s="1">
        <f t="shared" si="1"/>
        <v>4.6360770034516129E-3</v>
      </c>
      <c r="J7" s="7">
        <f>G251</f>
        <v>0.55647967554133304</v>
      </c>
      <c r="K7" s="7">
        <v>0</v>
      </c>
      <c r="M7" s="7">
        <f>J7*K7</f>
        <v>0</v>
      </c>
    </row>
    <row r="8" spans="1:15" ht="13" x14ac:dyDescent="0.3">
      <c r="A8" s="18">
        <v>45037</v>
      </c>
      <c r="B8" s="1">
        <v>543.15002400000003</v>
      </c>
      <c r="C8" s="1">
        <v>108</v>
      </c>
      <c r="F8" s="1">
        <f t="shared" si="0"/>
        <v>-3.033163742422938E-3</v>
      </c>
      <c r="G8" s="1">
        <f t="shared" si="1"/>
        <v>-9.2547901955513485E-4</v>
      </c>
      <c r="K8" s="7">
        <f>SUM(K6:K7)</f>
        <v>1</v>
      </c>
    </row>
    <row r="9" spans="1:15" ht="13" x14ac:dyDescent="0.3">
      <c r="A9" s="18">
        <v>45040</v>
      </c>
      <c r="B9" s="1">
        <v>554.59997599999997</v>
      </c>
      <c r="C9" s="1">
        <v>106.150002</v>
      </c>
      <c r="F9" s="1">
        <f t="shared" si="0"/>
        <v>2.0861520840796868E-2</v>
      </c>
      <c r="G9" s="1">
        <f t="shared" si="1"/>
        <v>-1.7278020133692402E-2</v>
      </c>
    </row>
    <row r="10" spans="1:15" ht="13" x14ac:dyDescent="0.3">
      <c r="A10" s="18">
        <v>45041</v>
      </c>
      <c r="B10" s="1">
        <v>561.79998799999998</v>
      </c>
      <c r="C10" s="1">
        <v>106.5</v>
      </c>
      <c r="F10" s="1">
        <f t="shared" si="0"/>
        <v>1.289880340298374E-2</v>
      </c>
      <c r="G10" s="1">
        <f t="shared" si="1"/>
        <v>3.2917781589524918E-3</v>
      </c>
      <c r="L10" s="7" t="s">
        <v>39</v>
      </c>
      <c r="M10" s="6">
        <f>SUM(M6:M7)</f>
        <v>0.42419943184917663</v>
      </c>
      <c r="O10" s="1" t="s">
        <v>196</v>
      </c>
    </row>
    <row r="11" spans="1:15" ht="13" x14ac:dyDescent="0.3">
      <c r="A11" s="18">
        <v>45042</v>
      </c>
      <c r="B11" s="1">
        <v>566.34997599999997</v>
      </c>
      <c r="C11" s="1">
        <v>107.050003</v>
      </c>
      <c r="F11" s="1">
        <f t="shared" si="0"/>
        <v>8.0663259598710031E-3</v>
      </c>
      <c r="G11" s="1">
        <f t="shared" si="1"/>
        <v>5.15105791049939E-3</v>
      </c>
    </row>
    <row r="12" spans="1:15" ht="13" x14ac:dyDescent="0.3">
      <c r="A12" s="18">
        <v>45043</v>
      </c>
      <c r="B12" s="1">
        <v>564.75</v>
      </c>
      <c r="C12" s="1">
        <v>106.849998</v>
      </c>
      <c r="F12" s="1">
        <f t="shared" si="0"/>
        <v>-2.8290639219867623E-3</v>
      </c>
      <c r="G12" s="1">
        <f t="shared" si="1"/>
        <v>-1.8700800126514722E-3</v>
      </c>
      <c r="L12" s="7" t="s">
        <v>42</v>
      </c>
      <c r="M12" s="7">
        <v>7.0000000000000007E-2</v>
      </c>
    </row>
    <row r="13" spans="1:15" ht="13" x14ac:dyDescent="0.3">
      <c r="A13" s="18">
        <v>45044</v>
      </c>
      <c r="B13" s="1">
        <v>578.29998799999998</v>
      </c>
      <c r="C13" s="1">
        <v>107.650002</v>
      </c>
      <c r="F13" s="1">
        <f t="shared" si="0"/>
        <v>2.3709589065584166E-2</v>
      </c>
      <c r="G13" s="1">
        <f t="shared" si="1"/>
        <v>7.4592793417714983E-3</v>
      </c>
    </row>
    <row r="14" spans="1:15" ht="13" x14ac:dyDescent="0.3">
      <c r="A14" s="18">
        <v>45048</v>
      </c>
      <c r="B14" s="1">
        <v>575.29998799999998</v>
      </c>
      <c r="C14" s="1">
        <v>107.949997</v>
      </c>
      <c r="F14" s="1">
        <f t="shared" si="0"/>
        <v>-5.2011214031317064E-3</v>
      </c>
      <c r="G14" s="1">
        <f t="shared" si="1"/>
        <v>2.7828867810729876E-3</v>
      </c>
      <c r="L14" s="1" t="s">
        <v>45</v>
      </c>
      <c r="M14" s="1">
        <f t="array" ref="M14">MMULT(TRANSPOSE(K6:K7),MMULT(M19:N20,K6:K7))</f>
        <v>1.6722704502812738E-4</v>
      </c>
      <c r="O14" s="1" t="s">
        <v>197</v>
      </c>
    </row>
    <row r="15" spans="1:15" ht="13" x14ac:dyDescent="0.3">
      <c r="A15" s="18">
        <v>45049</v>
      </c>
      <c r="B15" s="1">
        <v>570.5</v>
      </c>
      <c r="C15" s="1">
        <v>110.300003</v>
      </c>
      <c r="F15" s="1">
        <f t="shared" si="0"/>
        <v>-8.378453708434765E-3</v>
      </c>
      <c r="G15" s="1">
        <f t="shared" si="1"/>
        <v>2.1535824287833769E-2</v>
      </c>
      <c r="L15" s="1" t="s">
        <v>13</v>
      </c>
      <c r="M15" s="1">
        <f>SQRT(M14)</f>
        <v>1.2931629635437576E-2</v>
      </c>
    </row>
    <row r="16" spans="1:15" ht="13" x14ac:dyDescent="0.3">
      <c r="A16" s="18">
        <v>45050</v>
      </c>
      <c r="B16" s="1">
        <v>580</v>
      </c>
      <c r="C16" s="1">
        <v>109.699997</v>
      </c>
      <c r="F16" s="1">
        <f t="shared" si="0"/>
        <v>1.6514934238334722E-2</v>
      </c>
      <c r="G16" s="1">
        <f t="shared" si="1"/>
        <v>-5.4546135241325148E-3</v>
      </c>
      <c r="L16" s="1" t="s">
        <v>14</v>
      </c>
      <c r="M16" s="1">
        <f>SQRT(252)*M15</f>
        <v>0.2052832563729641</v>
      </c>
    </row>
    <row r="17" spans="1:15" ht="13.5" thickBot="1" x14ac:dyDescent="0.35">
      <c r="A17" s="18">
        <v>45051</v>
      </c>
      <c r="B17" s="1">
        <v>576.5</v>
      </c>
      <c r="C17" s="1">
        <v>111.050003</v>
      </c>
      <c r="F17" s="1">
        <f t="shared" si="0"/>
        <v>-6.0527638313513437E-3</v>
      </c>
      <c r="G17" s="1">
        <f t="shared" si="1"/>
        <v>1.2231237421420932E-2</v>
      </c>
    </row>
    <row r="18" spans="1:15" ht="13" x14ac:dyDescent="0.3">
      <c r="A18" s="18">
        <v>45054</v>
      </c>
      <c r="B18" s="1">
        <v>583.59997599999997</v>
      </c>
      <c r="C18" s="1">
        <v>108.650002</v>
      </c>
      <c r="F18" s="1">
        <f t="shared" si="0"/>
        <v>1.2240435815458413E-2</v>
      </c>
      <c r="G18" s="1">
        <f t="shared" si="1"/>
        <v>-2.1848852245124603E-2</v>
      </c>
      <c r="L18" s="19"/>
      <c r="M18" s="19" t="s">
        <v>193</v>
      </c>
      <c r="N18" s="19" t="s">
        <v>194</v>
      </c>
    </row>
    <row r="19" spans="1:15" ht="13.5" thickBot="1" x14ac:dyDescent="0.35">
      <c r="A19" s="18">
        <v>45055</v>
      </c>
      <c r="B19" s="1">
        <v>573.5</v>
      </c>
      <c r="C19" s="1">
        <v>109.550003</v>
      </c>
      <c r="F19" s="1">
        <f t="shared" si="0"/>
        <v>-1.745783895514675E-2</v>
      </c>
      <c r="G19" s="1">
        <f t="shared" si="1"/>
        <v>8.2493683160611963E-3</v>
      </c>
      <c r="L19" s="1" t="s">
        <v>193</v>
      </c>
      <c r="M19" s="1">
        <f>VARP('backtest stocks'!$F$5:$F$248)</f>
        <v>1.6722704502812738E-4</v>
      </c>
      <c r="N19" s="14">
        <v>-1.6911502915221922E-6</v>
      </c>
    </row>
    <row r="20" spans="1:15" ht="13.5" thickBot="1" x14ac:dyDescent="0.35">
      <c r="A20" s="18">
        <v>45056</v>
      </c>
      <c r="B20" s="1">
        <v>572.20001200000002</v>
      </c>
      <c r="C20" s="1">
        <v>109.550003</v>
      </c>
      <c r="F20" s="1">
        <f t="shared" si="0"/>
        <v>-2.2693349817274346E-3</v>
      </c>
      <c r="G20" s="1">
        <f t="shared" si="1"/>
        <v>0</v>
      </c>
      <c r="L20" s="14" t="s">
        <v>194</v>
      </c>
      <c r="M20" s="14">
        <v>-1.6911502915221922E-6</v>
      </c>
      <c r="N20" s="14">
        <f>VARP('backtest stocks'!$G$5:$G$248)</f>
        <v>2.3176592428315621E-4</v>
      </c>
    </row>
    <row r="21" spans="1:15" ht="13" x14ac:dyDescent="0.3">
      <c r="A21" s="18">
        <v>45057</v>
      </c>
      <c r="B21" s="1">
        <v>573.45001200000002</v>
      </c>
      <c r="C21" s="1">
        <v>109.25</v>
      </c>
      <c r="F21" s="1">
        <f t="shared" si="0"/>
        <v>2.1821681488077955E-3</v>
      </c>
      <c r="G21" s="1">
        <f t="shared" si="1"/>
        <v>-2.7422594505314367E-3</v>
      </c>
    </row>
    <row r="22" spans="1:15" ht="13" x14ac:dyDescent="0.3">
      <c r="A22" s="18">
        <v>45058</v>
      </c>
      <c r="B22" s="1">
        <v>578.15002400000003</v>
      </c>
      <c r="C22" s="1">
        <v>108.550003</v>
      </c>
      <c r="F22" s="1">
        <f t="shared" si="0"/>
        <v>8.162622350182747E-3</v>
      </c>
      <c r="G22" s="1">
        <f t="shared" si="1"/>
        <v>-6.4279100143654301E-3</v>
      </c>
    </row>
    <row r="23" spans="1:15" ht="13" x14ac:dyDescent="0.3">
      <c r="A23" s="18">
        <v>45061</v>
      </c>
      <c r="B23" s="1">
        <v>581.90002400000003</v>
      </c>
      <c r="C23" s="1">
        <v>106.75</v>
      </c>
      <c r="F23" s="1">
        <f t="shared" si="0"/>
        <v>6.4652608201351373E-3</v>
      </c>
      <c r="G23" s="1">
        <f t="shared" si="1"/>
        <v>-1.6721271852600222E-2</v>
      </c>
      <c r="L23" s="1" t="s">
        <v>48</v>
      </c>
      <c r="M23" s="1">
        <f>(M12-M14)/M16</f>
        <v>0.34017763644638332</v>
      </c>
      <c r="O23" s="1" t="s">
        <v>198</v>
      </c>
    </row>
    <row r="24" spans="1:15" ht="13" x14ac:dyDescent="0.3">
      <c r="A24" s="18">
        <v>45062</v>
      </c>
      <c r="B24" s="1">
        <v>586.29998799999998</v>
      </c>
      <c r="C24" s="1">
        <v>107.699997</v>
      </c>
      <c r="F24" s="1">
        <f t="shared" si="0"/>
        <v>7.5329305960081284E-3</v>
      </c>
      <c r="G24" s="1">
        <f t="shared" si="1"/>
        <v>8.8599041984552141E-3</v>
      </c>
    </row>
    <row r="25" spans="1:15" ht="13" x14ac:dyDescent="0.3">
      <c r="A25" s="18">
        <v>45063</v>
      </c>
      <c r="B25" s="1">
        <v>586.29998799999998</v>
      </c>
      <c r="C25" s="1">
        <v>107.400002</v>
      </c>
      <c r="F25" s="1">
        <f t="shared" si="0"/>
        <v>0</v>
      </c>
      <c r="G25" s="1">
        <f t="shared" si="1"/>
        <v>-2.7893556104511465E-3</v>
      </c>
    </row>
    <row r="26" spans="1:15" ht="13" x14ac:dyDescent="0.3">
      <c r="A26" s="18">
        <v>45064</v>
      </c>
      <c r="B26" s="1">
        <v>574.20001200000002</v>
      </c>
      <c r="C26" s="1">
        <v>106</v>
      </c>
      <c r="F26" s="1">
        <f t="shared" si="0"/>
        <v>-2.0853794917226595E-2</v>
      </c>
      <c r="G26" s="1">
        <f t="shared" si="1"/>
        <v>-1.3121106584670948E-2</v>
      </c>
    </row>
    <row r="27" spans="1:15" ht="13" x14ac:dyDescent="0.3">
      <c r="A27" s="18">
        <v>45065</v>
      </c>
      <c r="B27" s="1">
        <v>575.15002400000003</v>
      </c>
      <c r="C27" s="1">
        <v>105.199997</v>
      </c>
      <c r="F27" s="1">
        <f t="shared" si="0"/>
        <v>1.6531294846583657E-3</v>
      </c>
      <c r="G27" s="1">
        <f t="shared" si="1"/>
        <v>-7.5758223255683703E-3</v>
      </c>
    </row>
    <row r="28" spans="1:15" ht="13" x14ac:dyDescent="0.3">
      <c r="A28" s="18">
        <v>45068</v>
      </c>
      <c r="B28" s="1">
        <v>577.15002400000003</v>
      </c>
      <c r="C28" s="1">
        <v>104.650002</v>
      </c>
      <c r="F28" s="1">
        <f t="shared" si="0"/>
        <v>3.4713215743008923E-3</v>
      </c>
      <c r="G28" s="1">
        <f t="shared" si="1"/>
        <v>-5.2418037831667751E-3</v>
      </c>
    </row>
    <row r="29" spans="1:15" ht="13" x14ac:dyDescent="0.3">
      <c r="A29" s="18">
        <v>45069</v>
      </c>
      <c r="B29" s="1">
        <v>581.59997599999997</v>
      </c>
      <c r="C29" s="1">
        <v>105</v>
      </c>
      <c r="F29" s="1">
        <f t="shared" si="0"/>
        <v>7.6806453092699315E-3</v>
      </c>
      <c r="G29" s="1">
        <f t="shared" si="1"/>
        <v>3.3388821541914097E-3</v>
      </c>
    </row>
    <row r="30" spans="1:15" ht="13" x14ac:dyDescent="0.3">
      <c r="A30" s="18">
        <v>45070</v>
      </c>
      <c r="B30" s="1">
        <v>582.70001200000002</v>
      </c>
      <c r="C30" s="1">
        <v>105.599998</v>
      </c>
      <c r="F30" s="1">
        <f t="shared" si="0"/>
        <v>1.8896097889817291E-3</v>
      </c>
      <c r="G30" s="1">
        <f t="shared" si="1"/>
        <v>5.6980021752436865E-3</v>
      </c>
    </row>
    <row r="31" spans="1:15" ht="13" x14ac:dyDescent="0.3">
      <c r="A31" s="18">
        <v>45071</v>
      </c>
      <c r="B31" s="1">
        <v>581.25</v>
      </c>
      <c r="C31" s="1">
        <v>105.199997</v>
      </c>
      <c r="F31" s="1">
        <f t="shared" si="0"/>
        <v>-2.4915378412497936E-3</v>
      </c>
      <c r="G31" s="1">
        <f t="shared" si="1"/>
        <v>-3.7950805462681914E-3</v>
      </c>
    </row>
    <row r="32" spans="1:15" ht="13" x14ac:dyDescent="0.3">
      <c r="A32" s="18">
        <v>45072</v>
      </c>
      <c r="B32" s="1">
        <v>586</v>
      </c>
      <c r="C32" s="1">
        <v>104.849998</v>
      </c>
      <c r="F32" s="1">
        <f t="shared" si="0"/>
        <v>8.1388326754464439E-3</v>
      </c>
      <c r="G32" s="1">
        <f t="shared" si="1"/>
        <v>-3.3325335134388929E-3</v>
      </c>
    </row>
    <row r="33" spans="1:7" ht="13" x14ac:dyDescent="0.3">
      <c r="A33" s="18">
        <v>45075</v>
      </c>
      <c r="B33" s="1">
        <v>595</v>
      </c>
      <c r="C33" s="1">
        <v>106.400002</v>
      </c>
      <c r="F33" s="1">
        <f t="shared" si="0"/>
        <v>1.5241615968617041E-2</v>
      </c>
      <c r="G33" s="1">
        <f t="shared" si="1"/>
        <v>1.4674857431476387E-2</v>
      </c>
    </row>
    <row r="34" spans="1:7" ht="13" x14ac:dyDescent="0.3">
      <c r="A34" s="18">
        <v>45076</v>
      </c>
      <c r="B34" s="1">
        <v>592.79998799999998</v>
      </c>
      <c r="C34" s="1">
        <v>108.449997</v>
      </c>
      <c r="F34" s="1">
        <f t="shared" si="0"/>
        <v>-3.7043518066678335E-3</v>
      </c>
      <c r="G34" s="1">
        <f t="shared" si="1"/>
        <v>1.9083613905829452E-2</v>
      </c>
    </row>
    <row r="35" spans="1:7" ht="13" x14ac:dyDescent="0.3">
      <c r="A35" s="18">
        <v>45077</v>
      </c>
      <c r="B35" s="1">
        <v>579.84997599999997</v>
      </c>
      <c r="C35" s="1">
        <v>107.050003</v>
      </c>
      <c r="F35" s="1">
        <f t="shared" si="0"/>
        <v>-2.2087645726265207E-2</v>
      </c>
      <c r="G35" s="1">
        <f t="shared" si="1"/>
        <v>-1.2993166550386499E-2</v>
      </c>
    </row>
    <row r="36" spans="1:7" ht="13" x14ac:dyDescent="0.3">
      <c r="A36" s="18">
        <v>45078</v>
      </c>
      <c r="B36" s="1">
        <v>582.75</v>
      </c>
      <c r="C36" s="1">
        <v>105.800003</v>
      </c>
      <c r="F36" s="1">
        <f t="shared" si="0"/>
        <v>4.9888699031699329E-3</v>
      </c>
      <c r="G36" s="1">
        <f t="shared" si="1"/>
        <v>-1.1745495280392955E-2</v>
      </c>
    </row>
    <row r="37" spans="1:7" ht="13" x14ac:dyDescent="0.3">
      <c r="A37" s="18">
        <v>45079</v>
      </c>
      <c r="B37" s="1">
        <v>587.20001200000002</v>
      </c>
      <c r="C37" s="1">
        <v>105.949997</v>
      </c>
      <c r="F37" s="1">
        <f t="shared" si="0"/>
        <v>7.6072198204064695E-3</v>
      </c>
      <c r="G37" s="1">
        <f t="shared" si="1"/>
        <v>1.4167086194784959E-3</v>
      </c>
    </row>
    <row r="38" spans="1:7" ht="13" x14ac:dyDescent="0.3">
      <c r="A38" s="18">
        <v>45082</v>
      </c>
      <c r="B38" s="1">
        <v>587.20001200000002</v>
      </c>
      <c r="C38" s="1">
        <v>108</v>
      </c>
      <c r="F38" s="1">
        <f t="shared" si="0"/>
        <v>0</v>
      </c>
      <c r="G38" s="1">
        <f t="shared" si="1"/>
        <v>1.9163970725155133E-2</v>
      </c>
    </row>
    <row r="39" spans="1:7" ht="13" x14ac:dyDescent="0.3">
      <c r="A39" s="18">
        <v>45083</v>
      </c>
      <c r="B39" s="1">
        <v>585.34997599999997</v>
      </c>
      <c r="C39" s="1">
        <v>109.400002</v>
      </c>
      <c r="F39" s="1">
        <f t="shared" si="0"/>
        <v>-3.1555798117028806E-3</v>
      </c>
      <c r="G39" s="1">
        <f t="shared" si="1"/>
        <v>1.2879681145196699E-2</v>
      </c>
    </row>
    <row r="40" spans="1:7" ht="13" x14ac:dyDescent="0.3">
      <c r="A40" s="18">
        <v>45084</v>
      </c>
      <c r="B40" s="1">
        <v>589.20001200000002</v>
      </c>
      <c r="C40" s="1">
        <v>109</v>
      </c>
      <c r="F40" s="1">
        <f t="shared" si="0"/>
        <v>6.5557870305036217E-3</v>
      </c>
      <c r="G40" s="1">
        <f t="shared" si="1"/>
        <v>-3.6630260402726426E-3</v>
      </c>
    </row>
    <row r="41" spans="1:7" ht="13" x14ac:dyDescent="0.3">
      <c r="A41" s="18">
        <v>45085</v>
      </c>
      <c r="B41" s="1">
        <v>588.5</v>
      </c>
      <c r="C41" s="1">
        <v>111.5</v>
      </c>
      <c r="F41" s="1">
        <f t="shared" si="0"/>
        <v>-1.1887782547423654E-3</v>
      </c>
      <c r="G41" s="1">
        <f t="shared" si="1"/>
        <v>2.2676708671029722E-2</v>
      </c>
    </row>
    <row r="42" spans="1:7" ht="13" x14ac:dyDescent="0.3">
      <c r="A42" s="18">
        <v>45086</v>
      </c>
      <c r="B42" s="1">
        <v>578.70001200000002</v>
      </c>
      <c r="C42" s="1">
        <v>111.150002</v>
      </c>
      <c r="F42" s="1">
        <f t="shared" si="0"/>
        <v>-1.6792697384405832E-2</v>
      </c>
      <c r="G42" s="1">
        <f t="shared" si="1"/>
        <v>-3.1439324962658295E-3</v>
      </c>
    </row>
    <row r="43" spans="1:7" ht="13" x14ac:dyDescent="0.3">
      <c r="A43" s="18">
        <v>45089</v>
      </c>
      <c r="B43" s="1">
        <v>578.65002400000003</v>
      </c>
      <c r="C43" s="1">
        <v>108.900002</v>
      </c>
      <c r="F43" s="1">
        <f t="shared" si="0"/>
        <v>-8.6383545990749441E-5</v>
      </c>
      <c r="G43" s="1">
        <f t="shared" si="1"/>
        <v>-2.0450610099520077E-2</v>
      </c>
    </row>
    <row r="44" spans="1:7" ht="13" x14ac:dyDescent="0.3">
      <c r="A44" s="18">
        <v>45090</v>
      </c>
      <c r="B44" s="1">
        <v>576.40002400000003</v>
      </c>
      <c r="C44" s="1">
        <v>109.5</v>
      </c>
      <c r="F44" s="1">
        <f t="shared" si="0"/>
        <v>-3.8959400068171294E-3</v>
      </c>
      <c r="G44" s="1">
        <f t="shared" si="1"/>
        <v>5.4945009521680304E-3</v>
      </c>
    </row>
    <row r="45" spans="1:7" ht="13" x14ac:dyDescent="0.3">
      <c r="A45" s="18">
        <v>45091</v>
      </c>
      <c r="B45" s="1">
        <v>576.54998799999998</v>
      </c>
      <c r="C45" s="1">
        <v>111.150002</v>
      </c>
      <c r="F45" s="1">
        <f t="shared" si="0"/>
        <v>2.6013964054791467E-4</v>
      </c>
      <c r="G45" s="1">
        <f t="shared" si="1"/>
        <v>1.4956109147352124E-2</v>
      </c>
    </row>
    <row r="46" spans="1:7" ht="13" x14ac:dyDescent="0.3">
      <c r="A46" s="18">
        <v>45092</v>
      </c>
      <c r="B46" s="1">
        <v>566.5</v>
      </c>
      <c r="C46" s="1">
        <v>113.800003</v>
      </c>
      <c r="F46" s="1">
        <f t="shared" si="0"/>
        <v>-1.758496493560464E-2</v>
      </c>
      <c r="G46" s="1">
        <f t="shared" si="1"/>
        <v>2.3561889650361365E-2</v>
      </c>
    </row>
    <row r="47" spans="1:7" ht="13" x14ac:dyDescent="0.3">
      <c r="A47" s="18">
        <v>45093</v>
      </c>
      <c r="B47" s="1">
        <v>571.25</v>
      </c>
      <c r="C47" s="1">
        <v>113.75</v>
      </c>
      <c r="F47" s="1">
        <f t="shared" si="0"/>
        <v>8.3498617403534054E-3</v>
      </c>
      <c r="G47" s="1">
        <f t="shared" si="1"/>
        <v>-4.394902232091125E-4</v>
      </c>
    </row>
    <row r="48" spans="1:7" ht="13" x14ac:dyDescent="0.3">
      <c r="A48" s="18">
        <v>45096</v>
      </c>
      <c r="B48" s="1">
        <v>568.84997599999997</v>
      </c>
      <c r="C48" s="1">
        <v>114.25</v>
      </c>
      <c r="F48" s="1">
        <f t="shared" si="0"/>
        <v>-4.2102054130740323E-3</v>
      </c>
      <c r="G48" s="1">
        <f t="shared" si="1"/>
        <v>4.3859719432542679E-3</v>
      </c>
    </row>
    <row r="49" spans="1:7" ht="13" x14ac:dyDescent="0.3">
      <c r="A49" s="18">
        <v>45097</v>
      </c>
      <c r="B49" s="1">
        <v>567.40002400000003</v>
      </c>
      <c r="C49" s="1">
        <v>114.099998</v>
      </c>
      <c r="F49" s="1">
        <f t="shared" si="0"/>
        <v>-2.552172122387987E-3</v>
      </c>
      <c r="G49" s="1">
        <f t="shared" si="1"/>
        <v>-1.3137904347681256E-3</v>
      </c>
    </row>
    <row r="50" spans="1:7" ht="13" x14ac:dyDescent="0.3">
      <c r="A50" s="18">
        <v>45098</v>
      </c>
      <c r="B50" s="1">
        <v>566.34997599999997</v>
      </c>
      <c r="C50" s="1">
        <v>114.25</v>
      </c>
      <c r="F50" s="1">
        <f t="shared" si="0"/>
        <v>-1.8523454028530463E-3</v>
      </c>
      <c r="G50" s="1">
        <f t="shared" si="1"/>
        <v>1.3137904347680744E-3</v>
      </c>
    </row>
    <row r="51" spans="1:7" ht="13" x14ac:dyDescent="0.3">
      <c r="A51" s="18">
        <v>45099</v>
      </c>
      <c r="B51" s="1">
        <v>562.95001200000002</v>
      </c>
      <c r="C51" s="1">
        <v>113.900002</v>
      </c>
      <c r="F51" s="1">
        <f t="shared" si="0"/>
        <v>-6.0213837046797919E-3</v>
      </c>
      <c r="G51" s="1">
        <f t="shared" si="1"/>
        <v>-3.0681417619152522E-3</v>
      </c>
    </row>
    <row r="52" spans="1:7" ht="13" x14ac:dyDescent="0.3">
      <c r="A52" s="18">
        <v>45100</v>
      </c>
      <c r="B52" s="1">
        <v>554.59997599999997</v>
      </c>
      <c r="C52" s="1">
        <v>111.099998</v>
      </c>
      <c r="F52" s="1">
        <f t="shared" si="0"/>
        <v>-1.4943745658174946E-2</v>
      </c>
      <c r="G52" s="1">
        <f t="shared" si="1"/>
        <v>-2.489020936861483E-2</v>
      </c>
    </row>
    <row r="53" spans="1:7" ht="13" x14ac:dyDescent="0.3">
      <c r="A53" s="18">
        <v>45103</v>
      </c>
      <c r="B53" s="1">
        <v>557.04998799999998</v>
      </c>
      <c r="C53" s="1">
        <v>109.599998</v>
      </c>
      <c r="F53" s="1">
        <f t="shared" si="0"/>
        <v>4.407891056028854E-3</v>
      </c>
      <c r="G53" s="1">
        <f t="shared" si="1"/>
        <v>-1.359332237804415E-2</v>
      </c>
    </row>
    <row r="54" spans="1:7" ht="13" x14ac:dyDescent="0.3">
      <c r="A54" s="18">
        <v>45104</v>
      </c>
      <c r="B54" s="1">
        <v>566.09997599999997</v>
      </c>
      <c r="C54" s="1">
        <v>109.849998</v>
      </c>
      <c r="F54" s="1">
        <f t="shared" si="0"/>
        <v>1.6115717684003415E-2</v>
      </c>
      <c r="G54" s="1">
        <f t="shared" si="1"/>
        <v>2.278424358233797E-3</v>
      </c>
    </row>
    <row r="55" spans="1:7" ht="13" x14ac:dyDescent="0.3">
      <c r="A55" s="18">
        <v>45105</v>
      </c>
      <c r="B55" s="1">
        <v>569.79998799999998</v>
      </c>
      <c r="C55" s="1">
        <v>110.75</v>
      </c>
      <c r="F55" s="1">
        <f t="shared" si="0"/>
        <v>6.5147023565097894E-3</v>
      </c>
      <c r="G55" s="1">
        <f t="shared" si="1"/>
        <v>8.1596283012714873E-3</v>
      </c>
    </row>
    <row r="56" spans="1:7" ht="13" x14ac:dyDescent="0.3">
      <c r="A56" s="18">
        <v>45107</v>
      </c>
      <c r="B56" s="1">
        <v>572.84997599999997</v>
      </c>
      <c r="C56" s="1">
        <v>111.550003</v>
      </c>
      <c r="F56" s="1">
        <f t="shared" si="0"/>
        <v>5.3384594400630774E-3</v>
      </c>
      <c r="G56" s="1">
        <f t="shared" si="1"/>
        <v>7.1975388470658704E-3</v>
      </c>
    </row>
    <row r="57" spans="1:7" ht="13" x14ac:dyDescent="0.3">
      <c r="A57" s="18">
        <v>45110</v>
      </c>
      <c r="B57" s="1">
        <v>585.45001200000002</v>
      </c>
      <c r="C57" s="1">
        <v>112</v>
      </c>
      <c r="F57" s="1">
        <f t="shared" si="0"/>
        <v>2.175694234793735E-2</v>
      </c>
      <c r="G57" s="1">
        <f t="shared" si="1"/>
        <v>4.0259235227837137E-3</v>
      </c>
    </row>
    <row r="58" spans="1:7" ht="13" x14ac:dyDescent="0.3">
      <c r="A58" s="18">
        <v>45111</v>
      </c>
      <c r="B58" s="1">
        <v>589.25</v>
      </c>
      <c r="C58" s="1">
        <v>113.099998</v>
      </c>
      <c r="F58" s="1">
        <f t="shared" si="0"/>
        <v>6.4697390244535299E-3</v>
      </c>
      <c r="G58" s="1">
        <f t="shared" si="1"/>
        <v>9.7734941435141699E-3</v>
      </c>
    </row>
    <row r="59" spans="1:7" ht="13" x14ac:dyDescent="0.3">
      <c r="A59" s="18">
        <v>45112</v>
      </c>
      <c r="B59" s="1">
        <v>590.59997599999997</v>
      </c>
      <c r="C59" s="1">
        <v>112.400002</v>
      </c>
      <c r="F59" s="1">
        <f t="shared" si="0"/>
        <v>2.2883868569403033E-3</v>
      </c>
      <c r="G59" s="1">
        <f t="shared" si="1"/>
        <v>-6.2084101854237919E-3</v>
      </c>
    </row>
    <row r="60" spans="1:7" ht="13" x14ac:dyDescent="0.3">
      <c r="A60" s="18">
        <v>45113</v>
      </c>
      <c r="B60" s="1">
        <v>592.5</v>
      </c>
      <c r="C60" s="1">
        <v>112.949997</v>
      </c>
      <c r="F60" s="1">
        <f t="shared" si="0"/>
        <v>3.2119443361056182E-3</v>
      </c>
      <c r="G60" s="1">
        <f t="shared" si="1"/>
        <v>4.8812611004021688E-3</v>
      </c>
    </row>
    <row r="61" spans="1:7" ht="13" x14ac:dyDescent="0.3">
      <c r="A61" s="18">
        <v>45114</v>
      </c>
      <c r="B61" s="1">
        <v>593.59997599999997</v>
      </c>
      <c r="C61" s="1">
        <v>112.650002</v>
      </c>
      <c r="F61" s="1">
        <f t="shared" si="0"/>
        <v>1.8547784126167078E-3</v>
      </c>
      <c r="G61" s="1">
        <f t="shared" si="1"/>
        <v>-2.6595317212280045E-3</v>
      </c>
    </row>
    <row r="62" spans="1:7" ht="13" x14ac:dyDescent="0.3">
      <c r="A62" s="18">
        <v>45117</v>
      </c>
      <c r="B62" s="1">
        <v>592.59997599999997</v>
      </c>
      <c r="C62" s="1">
        <v>111.599998</v>
      </c>
      <c r="F62" s="1">
        <f t="shared" si="0"/>
        <v>-1.686056781932712E-3</v>
      </c>
      <c r="G62" s="1">
        <f t="shared" si="1"/>
        <v>-9.3646526062954455E-3</v>
      </c>
    </row>
    <row r="63" spans="1:7" ht="13" x14ac:dyDescent="0.3">
      <c r="A63" s="18">
        <v>45118</v>
      </c>
      <c r="B63" s="1">
        <v>588.54998799999998</v>
      </c>
      <c r="C63" s="1">
        <v>115.300003</v>
      </c>
      <c r="F63" s="1">
        <f t="shared" si="0"/>
        <v>-6.8577301705726838E-3</v>
      </c>
      <c r="G63" s="1">
        <f t="shared" si="1"/>
        <v>3.261642126803016E-2</v>
      </c>
    </row>
    <row r="64" spans="1:7" ht="13" x14ac:dyDescent="0.3">
      <c r="A64" s="18">
        <v>45119</v>
      </c>
      <c r="B64" s="1">
        <v>589.25</v>
      </c>
      <c r="C64" s="1">
        <v>115.150002</v>
      </c>
      <c r="F64" s="1">
        <f t="shared" si="0"/>
        <v>1.1886773468429868E-3</v>
      </c>
      <c r="G64" s="1">
        <f t="shared" si="1"/>
        <v>-1.3018096587500178E-3</v>
      </c>
    </row>
    <row r="65" spans="1:7" ht="13" x14ac:dyDescent="0.3">
      <c r="A65" s="18">
        <v>45120</v>
      </c>
      <c r="B65" s="1">
        <v>585.65002400000003</v>
      </c>
      <c r="C65" s="1">
        <v>114.699997</v>
      </c>
      <c r="F65" s="1">
        <f t="shared" si="0"/>
        <v>-6.1281593202500576E-3</v>
      </c>
      <c r="G65" s="1">
        <f t="shared" si="1"/>
        <v>-3.9156456552064149E-3</v>
      </c>
    </row>
    <row r="66" spans="1:7" ht="13" x14ac:dyDescent="0.3">
      <c r="A66" s="18">
        <v>45121</v>
      </c>
      <c r="B66" s="1">
        <v>584.40002400000003</v>
      </c>
      <c r="C66" s="1">
        <v>114.849998</v>
      </c>
      <c r="F66" s="1">
        <f t="shared" si="0"/>
        <v>-2.13666155168499E-3</v>
      </c>
      <c r="G66" s="1">
        <f t="shared" si="1"/>
        <v>1.3069137409516837E-3</v>
      </c>
    </row>
    <row r="67" spans="1:7" ht="13" x14ac:dyDescent="0.3">
      <c r="A67" s="18">
        <v>45124</v>
      </c>
      <c r="B67" s="1">
        <v>601.09997599999997</v>
      </c>
      <c r="C67" s="1">
        <v>117.150002</v>
      </c>
      <c r="F67" s="1">
        <f t="shared" si="0"/>
        <v>2.8175549174009218E-2</v>
      </c>
      <c r="G67" s="1">
        <f t="shared" si="1"/>
        <v>1.9828270304845401E-2</v>
      </c>
    </row>
    <row r="68" spans="1:7" ht="13" x14ac:dyDescent="0.3">
      <c r="A68" s="18">
        <v>45125</v>
      </c>
      <c r="B68" s="1">
        <v>592.34997599999997</v>
      </c>
      <c r="C68" s="1">
        <v>117.75</v>
      </c>
      <c r="F68" s="1">
        <f t="shared" si="0"/>
        <v>-1.4663634234133837E-2</v>
      </c>
      <c r="G68" s="1">
        <f t="shared" si="1"/>
        <v>5.1085508705928399E-3</v>
      </c>
    </row>
    <row r="69" spans="1:7" ht="13" x14ac:dyDescent="0.3">
      <c r="A69" s="18">
        <v>45126</v>
      </c>
      <c r="B69" s="1">
        <v>601.45001200000002</v>
      </c>
      <c r="C69" s="1">
        <v>116.599998</v>
      </c>
      <c r="F69" s="1">
        <f t="shared" si="0"/>
        <v>1.5245790507683758E-2</v>
      </c>
      <c r="G69" s="1">
        <f t="shared" si="1"/>
        <v>-9.8144761327938913E-3</v>
      </c>
    </row>
    <row r="70" spans="1:7" ht="13" x14ac:dyDescent="0.3">
      <c r="A70" s="18">
        <v>45127</v>
      </c>
      <c r="B70" s="1">
        <v>610.04998799999998</v>
      </c>
      <c r="C70" s="1">
        <v>116.699997</v>
      </c>
      <c r="F70" s="1">
        <f t="shared" ref="F70:F133" si="2">LN(B70/B69)</f>
        <v>1.4197474958959675E-2</v>
      </c>
      <c r="G70" s="1">
        <f t="shared" ref="G70:G133" si="3">LN(C70/C69)</f>
        <v>8.5725682183579552E-4</v>
      </c>
    </row>
    <row r="71" spans="1:7" ht="13" x14ac:dyDescent="0.3">
      <c r="A71" s="18">
        <v>45128</v>
      </c>
      <c r="B71" s="1">
        <v>615.09997599999997</v>
      </c>
      <c r="C71" s="1">
        <v>116.949997</v>
      </c>
      <c r="F71" s="1">
        <f t="shared" si="2"/>
        <v>8.2439158454518241E-3</v>
      </c>
      <c r="G71" s="1">
        <f t="shared" si="3"/>
        <v>2.1399537926306269E-3</v>
      </c>
    </row>
    <row r="72" spans="1:7" ht="13" x14ac:dyDescent="0.3">
      <c r="A72" s="18">
        <v>45131</v>
      </c>
      <c r="B72" s="1">
        <v>617.65002400000003</v>
      </c>
      <c r="C72" s="1">
        <v>116.599998</v>
      </c>
      <c r="F72" s="1">
        <f t="shared" si="2"/>
        <v>4.1371756435040043E-3</v>
      </c>
      <c r="G72" s="1">
        <f t="shared" si="3"/>
        <v>-2.9972106144665013E-3</v>
      </c>
    </row>
    <row r="73" spans="1:7" ht="13" x14ac:dyDescent="0.3">
      <c r="A73" s="18">
        <v>45132</v>
      </c>
      <c r="B73" s="1">
        <v>609.59997599999997</v>
      </c>
      <c r="C73" s="1">
        <v>115.5</v>
      </c>
      <c r="F73" s="1">
        <f t="shared" si="2"/>
        <v>-1.3119027837422893E-2</v>
      </c>
      <c r="G73" s="1">
        <f t="shared" si="3"/>
        <v>-9.4787268018849801E-3</v>
      </c>
    </row>
    <row r="74" spans="1:7" ht="13" x14ac:dyDescent="0.3">
      <c r="A74" s="18">
        <v>45133</v>
      </c>
      <c r="B74" s="1">
        <v>615.15002400000003</v>
      </c>
      <c r="C74" s="1">
        <v>119.25</v>
      </c>
      <c r="F74" s="1">
        <f t="shared" si="2"/>
        <v>9.0632145186947261E-3</v>
      </c>
      <c r="G74" s="1">
        <f t="shared" si="3"/>
        <v>3.1951599806602428E-2</v>
      </c>
    </row>
    <row r="75" spans="1:7" ht="13" x14ac:dyDescent="0.3">
      <c r="A75" s="18">
        <v>45134</v>
      </c>
      <c r="B75" s="1">
        <v>616.54998799999998</v>
      </c>
      <c r="C75" s="1">
        <v>119.949997</v>
      </c>
      <c r="F75" s="1">
        <f t="shared" si="2"/>
        <v>2.2732233323458089E-3</v>
      </c>
      <c r="G75" s="1">
        <f t="shared" si="3"/>
        <v>5.8528345068315484E-3</v>
      </c>
    </row>
    <row r="76" spans="1:7" ht="13" x14ac:dyDescent="0.3">
      <c r="A76" s="18">
        <v>45135</v>
      </c>
      <c r="B76" s="1">
        <v>616.04998799999998</v>
      </c>
      <c r="C76" s="1">
        <v>119.800003</v>
      </c>
      <c r="F76" s="1">
        <f t="shared" si="2"/>
        <v>-8.1129326165894845E-4</v>
      </c>
      <c r="G76" s="1">
        <f t="shared" si="3"/>
        <v>-1.2512535521972932E-3</v>
      </c>
    </row>
    <row r="77" spans="1:7" ht="13" x14ac:dyDescent="0.3">
      <c r="A77" s="18">
        <v>45138</v>
      </c>
      <c r="B77" s="1">
        <v>620.20001200000002</v>
      </c>
      <c r="C77" s="1">
        <v>120.599998</v>
      </c>
      <c r="F77" s="1">
        <f t="shared" si="2"/>
        <v>6.7139164232070591E-3</v>
      </c>
      <c r="G77" s="1">
        <f t="shared" si="3"/>
        <v>6.6555569862520999E-3</v>
      </c>
    </row>
    <row r="78" spans="1:7" ht="13" x14ac:dyDescent="0.3">
      <c r="A78" s="18">
        <v>45139</v>
      </c>
      <c r="B78" s="1">
        <v>611.84997599999997</v>
      </c>
      <c r="C78" s="1">
        <v>123.150002</v>
      </c>
      <c r="F78" s="1">
        <f t="shared" si="2"/>
        <v>-1.3554910808569654E-2</v>
      </c>
      <c r="G78" s="1">
        <f t="shared" si="3"/>
        <v>2.092387309756702E-2</v>
      </c>
    </row>
    <row r="79" spans="1:7" ht="13" x14ac:dyDescent="0.3">
      <c r="A79" s="18">
        <v>45140</v>
      </c>
      <c r="B79" s="1">
        <v>598.45001200000002</v>
      </c>
      <c r="C79" s="1">
        <v>123.199997</v>
      </c>
      <c r="F79" s="1">
        <f t="shared" si="2"/>
        <v>-2.2144115835196241E-2</v>
      </c>
      <c r="G79" s="1">
        <f t="shared" si="3"/>
        <v>4.0588594186564405E-4</v>
      </c>
    </row>
    <row r="80" spans="1:7" ht="13" x14ac:dyDescent="0.3">
      <c r="A80" s="18">
        <v>45141</v>
      </c>
      <c r="B80" s="1">
        <v>590.5</v>
      </c>
      <c r="C80" s="1">
        <v>118.949997</v>
      </c>
      <c r="F80" s="1">
        <f t="shared" si="2"/>
        <v>-1.3373363733762782E-2</v>
      </c>
      <c r="G80" s="1">
        <f t="shared" si="3"/>
        <v>-3.5105815220484407E-2</v>
      </c>
    </row>
    <row r="81" spans="1:7" ht="13" x14ac:dyDescent="0.3">
      <c r="A81" s="18">
        <v>45142</v>
      </c>
      <c r="B81" s="1">
        <v>573.29998799999998</v>
      </c>
      <c r="C81" s="1">
        <v>118.199997</v>
      </c>
      <c r="F81" s="1">
        <f t="shared" si="2"/>
        <v>-2.9560516654529724E-2</v>
      </c>
      <c r="G81" s="1">
        <f t="shared" si="3"/>
        <v>-6.3251319369985147E-3</v>
      </c>
    </row>
    <row r="82" spans="1:7" ht="13" x14ac:dyDescent="0.3">
      <c r="A82" s="18">
        <v>45145</v>
      </c>
      <c r="B82" s="1">
        <v>567.90002400000003</v>
      </c>
      <c r="C82" s="1">
        <v>119</v>
      </c>
      <c r="F82" s="1">
        <f t="shared" si="2"/>
        <v>-9.4637298385398649E-3</v>
      </c>
      <c r="G82" s="1">
        <f t="shared" si="3"/>
        <v>6.7454135202426576E-3</v>
      </c>
    </row>
    <row r="83" spans="1:7" ht="13" x14ac:dyDescent="0.3">
      <c r="A83" s="18">
        <v>45146</v>
      </c>
      <c r="B83" s="1">
        <v>573.09997599999997</v>
      </c>
      <c r="C83" s="1">
        <v>118.849998</v>
      </c>
      <c r="F83" s="1">
        <f t="shared" si="2"/>
        <v>9.1147905358350389E-3</v>
      </c>
      <c r="G83" s="1">
        <f t="shared" si="3"/>
        <v>-1.2613161332609545E-3</v>
      </c>
    </row>
    <row r="84" spans="1:7" ht="13" x14ac:dyDescent="0.3">
      <c r="A84" s="18">
        <v>45147</v>
      </c>
      <c r="B84" s="1">
        <v>573.75</v>
      </c>
      <c r="C84" s="1">
        <v>118.150002</v>
      </c>
      <c r="F84" s="1">
        <f t="shared" si="2"/>
        <v>1.133581694572417E-3</v>
      </c>
      <c r="G84" s="1">
        <f t="shared" si="3"/>
        <v>-5.9071564177172915E-3</v>
      </c>
    </row>
    <row r="85" spans="1:7" ht="13" x14ac:dyDescent="0.3">
      <c r="A85" s="18">
        <v>45148</v>
      </c>
      <c r="B85" s="1">
        <v>573.65002400000003</v>
      </c>
      <c r="C85" s="1">
        <v>120.199997</v>
      </c>
      <c r="F85" s="1">
        <f t="shared" si="2"/>
        <v>-1.7426529224651426E-4</v>
      </c>
      <c r="G85" s="1">
        <f t="shared" si="3"/>
        <v>1.7201976582153077E-2</v>
      </c>
    </row>
    <row r="86" spans="1:7" ht="13" x14ac:dyDescent="0.3">
      <c r="A86" s="18">
        <v>45149</v>
      </c>
      <c r="B86" s="1">
        <v>574.15002400000003</v>
      </c>
      <c r="C86" s="1">
        <v>120</v>
      </c>
      <c r="F86" s="1">
        <f t="shared" si="2"/>
        <v>8.7123194061208451E-4</v>
      </c>
      <c r="G86" s="1">
        <f t="shared" si="3"/>
        <v>-1.6652543606581654E-3</v>
      </c>
    </row>
    <row r="87" spans="1:7" ht="13" x14ac:dyDescent="0.3">
      <c r="A87" s="18">
        <v>45152</v>
      </c>
      <c r="B87" s="1">
        <v>560.79998799999998</v>
      </c>
      <c r="C87" s="1">
        <v>120.300003</v>
      </c>
      <c r="F87" s="1">
        <f t="shared" si="2"/>
        <v>-2.3526413700743383E-2</v>
      </c>
      <c r="G87" s="1">
        <f t="shared" si="3"/>
        <v>2.4969051362427651E-3</v>
      </c>
    </row>
    <row r="88" spans="1:7" ht="13" x14ac:dyDescent="0.3">
      <c r="A88" s="18">
        <v>45154</v>
      </c>
      <c r="B88" s="1">
        <v>565.34997599999997</v>
      </c>
      <c r="C88" s="1">
        <v>118.150002</v>
      </c>
      <c r="F88" s="1">
        <f t="shared" si="2"/>
        <v>8.0806516072973109E-3</v>
      </c>
      <c r="G88" s="1">
        <f t="shared" si="3"/>
        <v>-1.8033627357737735E-2</v>
      </c>
    </row>
    <row r="89" spans="1:7" ht="13" x14ac:dyDescent="0.3">
      <c r="A89" s="18">
        <v>45155</v>
      </c>
      <c r="B89" s="1">
        <v>572.15002400000003</v>
      </c>
      <c r="C89" s="1">
        <v>115.949997</v>
      </c>
      <c r="F89" s="1">
        <f t="shared" si="2"/>
        <v>1.195627078109023E-2</v>
      </c>
      <c r="G89" s="1">
        <f t="shared" si="3"/>
        <v>-1.8795982732232045E-2</v>
      </c>
    </row>
    <row r="90" spans="1:7" ht="13" x14ac:dyDescent="0.3">
      <c r="A90" s="18">
        <v>45156</v>
      </c>
      <c r="B90" s="1">
        <v>572.95001200000002</v>
      </c>
      <c r="C90" s="1">
        <v>116.050003</v>
      </c>
      <c r="F90" s="1">
        <f t="shared" si="2"/>
        <v>1.3972371059282063E-3</v>
      </c>
      <c r="G90" s="1">
        <f t="shared" si="3"/>
        <v>8.6212074305292211E-4</v>
      </c>
    </row>
    <row r="91" spans="1:7" ht="13" x14ac:dyDescent="0.3">
      <c r="A91" s="18">
        <v>45159</v>
      </c>
      <c r="B91" s="1">
        <v>571.70001200000002</v>
      </c>
      <c r="C91" s="1">
        <v>115.800003</v>
      </c>
      <c r="F91" s="1">
        <f t="shared" si="2"/>
        <v>-2.1840745567379017E-3</v>
      </c>
      <c r="G91" s="1">
        <f t="shared" si="3"/>
        <v>-2.1565675257418024E-3</v>
      </c>
    </row>
    <row r="92" spans="1:7" ht="13" x14ac:dyDescent="0.3">
      <c r="A92" s="18">
        <v>45160</v>
      </c>
      <c r="B92" s="1">
        <v>568.5</v>
      </c>
      <c r="C92" s="1">
        <v>116.900002</v>
      </c>
      <c r="F92" s="1">
        <f t="shared" si="2"/>
        <v>-5.6130860693643691E-3</v>
      </c>
      <c r="G92" s="1">
        <f t="shared" si="3"/>
        <v>9.4542945410321742E-3</v>
      </c>
    </row>
    <row r="93" spans="1:7" ht="13" x14ac:dyDescent="0.3">
      <c r="A93" s="18">
        <v>45161</v>
      </c>
      <c r="B93" s="1">
        <v>576.90002400000003</v>
      </c>
      <c r="C93" s="1">
        <v>117.550003</v>
      </c>
      <c r="F93" s="1">
        <f t="shared" si="2"/>
        <v>1.4667669673916254E-2</v>
      </c>
      <c r="G93" s="1">
        <f t="shared" si="3"/>
        <v>5.5449149204705997E-3</v>
      </c>
    </row>
    <row r="94" spans="1:7" ht="13" x14ac:dyDescent="0.3">
      <c r="A94" s="18">
        <v>45162</v>
      </c>
      <c r="B94" s="1">
        <v>576.95001200000002</v>
      </c>
      <c r="C94" s="1">
        <v>118.949997</v>
      </c>
      <c r="F94" s="1">
        <f t="shared" si="2"/>
        <v>8.6645575198969938E-5</v>
      </c>
      <c r="G94" s="1">
        <f t="shared" si="3"/>
        <v>1.1839411021152376E-2</v>
      </c>
    </row>
    <row r="95" spans="1:7" ht="13" x14ac:dyDescent="0.3">
      <c r="A95" s="18">
        <v>45163</v>
      </c>
      <c r="B95" s="1">
        <v>569.95001200000002</v>
      </c>
      <c r="C95" s="1">
        <v>118.25</v>
      </c>
      <c r="F95" s="1">
        <f t="shared" si="2"/>
        <v>-1.2206969702440099E-2</v>
      </c>
      <c r="G95" s="1">
        <f t="shared" si="3"/>
        <v>-5.9021841562430554E-3</v>
      </c>
    </row>
    <row r="96" spans="1:7" ht="13" x14ac:dyDescent="0.3">
      <c r="A96" s="18">
        <v>45166</v>
      </c>
      <c r="B96" s="1">
        <v>572.84997599999997</v>
      </c>
      <c r="C96" s="1">
        <v>116.900002</v>
      </c>
      <c r="F96" s="1">
        <f t="shared" si="2"/>
        <v>5.075201706583969E-3</v>
      </c>
      <c r="G96" s="1">
        <f t="shared" si="3"/>
        <v>-1.148214178537995E-2</v>
      </c>
    </row>
    <row r="97" spans="1:7" ht="13" x14ac:dyDescent="0.3">
      <c r="A97" s="18">
        <v>45167</v>
      </c>
      <c r="B97" s="1">
        <v>574.84997599999997</v>
      </c>
      <c r="C97" s="1">
        <v>117.599998</v>
      </c>
      <c r="F97" s="1">
        <f t="shared" si="2"/>
        <v>3.4852350058767112E-3</v>
      </c>
      <c r="G97" s="1">
        <f t="shared" si="3"/>
        <v>5.9701328710613051E-3</v>
      </c>
    </row>
    <row r="98" spans="1:7" ht="13" x14ac:dyDescent="0.3">
      <c r="A98" s="18">
        <v>45168</v>
      </c>
      <c r="B98" s="1">
        <v>567.40002400000003</v>
      </c>
      <c r="C98" s="1">
        <v>119.550003</v>
      </c>
      <c r="F98" s="1">
        <f t="shared" si="2"/>
        <v>-1.3044530776774033E-2</v>
      </c>
      <c r="G98" s="1">
        <f t="shared" si="3"/>
        <v>1.6445700540712663E-2</v>
      </c>
    </row>
    <row r="99" spans="1:7" ht="13" x14ac:dyDescent="0.3">
      <c r="A99" s="18">
        <v>45169</v>
      </c>
      <c r="B99" s="1">
        <v>561.34997599999997</v>
      </c>
      <c r="C99" s="1">
        <v>122.099998</v>
      </c>
      <c r="F99" s="1">
        <f t="shared" si="2"/>
        <v>-1.072001052223995E-2</v>
      </c>
      <c r="G99" s="1">
        <f t="shared" si="3"/>
        <v>2.1105645738206214E-2</v>
      </c>
    </row>
    <row r="100" spans="1:7" ht="13" x14ac:dyDescent="0.3">
      <c r="A100" s="18">
        <v>45170</v>
      </c>
      <c r="B100" s="1">
        <v>569.54998799999998</v>
      </c>
      <c r="C100" s="1">
        <v>122.900002</v>
      </c>
      <c r="F100" s="1">
        <f t="shared" si="2"/>
        <v>1.4502000125943115E-2</v>
      </c>
      <c r="G100" s="1">
        <f t="shared" si="3"/>
        <v>6.5306681087395884E-3</v>
      </c>
    </row>
    <row r="101" spans="1:7" ht="13" x14ac:dyDescent="0.3">
      <c r="A101" s="18">
        <v>45173</v>
      </c>
      <c r="B101" s="1">
        <v>575.54998799999998</v>
      </c>
      <c r="C101" s="1">
        <v>127.050003</v>
      </c>
      <c r="F101" s="1">
        <f t="shared" si="2"/>
        <v>1.0479530234793193E-2</v>
      </c>
      <c r="G101" s="1">
        <f t="shared" si="3"/>
        <v>3.320970053354181E-2</v>
      </c>
    </row>
    <row r="102" spans="1:7" ht="13" x14ac:dyDescent="0.3">
      <c r="A102" s="18">
        <v>45174</v>
      </c>
      <c r="B102" s="1">
        <v>573</v>
      </c>
      <c r="C102" s="1">
        <v>131.75</v>
      </c>
      <c r="F102" s="1">
        <f t="shared" si="2"/>
        <v>-4.4403677967091854E-3</v>
      </c>
      <c r="G102" s="1">
        <f t="shared" si="3"/>
        <v>3.6325454042547896E-2</v>
      </c>
    </row>
    <row r="103" spans="1:7" ht="13" x14ac:dyDescent="0.3">
      <c r="A103" s="18">
        <v>45175</v>
      </c>
      <c r="B103" s="1">
        <v>570.5</v>
      </c>
      <c r="C103" s="1">
        <v>131.699997</v>
      </c>
      <c r="F103" s="1">
        <f t="shared" si="2"/>
        <v>-4.3725474126091925E-3</v>
      </c>
      <c r="G103" s="1">
        <f t="shared" si="3"/>
        <v>-3.7960145127996227E-4</v>
      </c>
    </row>
    <row r="104" spans="1:7" ht="13" x14ac:dyDescent="0.3">
      <c r="A104" s="18">
        <v>45176</v>
      </c>
      <c r="B104" s="1">
        <v>579.04998799999998</v>
      </c>
      <c r="C104" s="1">
        <v>129.60000600000001</v>
      </c>
      <c r="F104" s="1">
        <f t="shared" si="2"/>
        <v>1.4875639604657121E-2</v>
      </c>
      <c r="G104" s="1">
        <f t="shared" si="3"/>
        <v>-1.6073755755722223E-2</v>
      </c>
    </row>
    <row r="105" spans="1:7" ht="13" x14ac:dyDescent="0.3">
      <c r="A105" s="18">
        <v>45177</v>
      </c>
      <c r="B105" s="1">
        <v>583.45001200000002</v>
      </c>
      <c r="C105" s="1">
        <v>130.14999399999999</v>
      </c>
      <c r="F105" s="1">
        <f t="shared" si="2"/>
        <v>7.5699699126437186E-3</v>
      </c>
      <c r="G105" s="1">
        <f t="shared" si="3"/>
        <v>4.2347551254505169E-3</v>
      </c>
    </row>
    <row r="106" spans="1:7" ht="13" x14ac:dyDescent="0.3">
      <c r="A106" s="18">
        <v>45180</v>
      </c>
      <c r="B106" s="1">
        <v>591.70001200000002</v>
      </c>
      <c r="C106" s="1">
        <v>129.5</v>
      </c>
      <c r="F106" s="1">
        <f t="shared" si="2"/>
        <v>1.404099114376448E-2</v>
      </c>
      <c r="G106" s="1">
        <f t="shared" si="3"/>
        <v>-5.0067042003277412E-3</v>
      </c>
    </row>
    <row r="107" spans="1:7" ht="13" x14ac:dyDescent="0.3">
      <c r="A107" s="18">
        <v>45181</v>
      </c>
      <c r="B107" s="1">
        <v>588.34997599999997</v>
      </c>
      <c r="C107" s="1">
        <v>131.14999399999999</v>
      </c>
      <c r="F107" s="1">
        <f t="shared" si="2"/>
        <v>-5.6778018453043175E-3</v>
      </c>
      <c r="G107" s="1">
        <f t="shared" si="3"/>
        <v>1.2660779424146897E-2</v>
      </c>
    </row>
    <row r="108" spans="1:7" ht="13" x14ac:dyDescent="0.3">
      <c r="A108" s="18">
        <v>45182</v>
      </c>
      <c r="B108" s="1">
        <v>596.45001200000002</v>
      </c>
      <c r="C108" s="1">
        <v>129</v>
      </c>
      <c r="F108" s="1">
        <f t="shared" si="2"/>
        <v>1.367346772910087E-2</v>
      </c>
      <c r="G108" s="1">
        <f t="shared" si="3"/>
        <v>-1.6529256202067254E-2</v>
      </c>
    </row>
    <row r="109" spans="1:7" ht="13" x14ac:dyDescent="0.3">
      <c r="A109" s="18">
        <v>45183</v>
      </c>
      <c r="B109" s="1">
        <v>597.29998799999998</v>
      </c>
      <c r="C109" s="1">
        <v>129.550003</v>
      </c>
      <c r="F109" s="1">
        <f t="shared" si="2"/>
        <v>1.4240438008608558E-3</v>
      </c>
      <c r="G109" s="1">
        <f t="shared" si="3"/>
        <v>4.2545258035288427E-3</v>
      </c>
    </row>
    <row r="110" spans="1:7" ht="13" x14ac:dyDescent="0.3">
      <c r="A110" s="18">
        <v>45184</v>
      </c>
      <c r="B110" s="1">
        <v>598.79998799999998</v>
      </c>
      <c r="C110" s="1">
        <v>131.699997</v>
      </c>
      <c r="F110" s="1">
        <f t="shared" si="2"/>
        <v>2.5081528575397276E-3</v>
      </c>
      <c r="G110" s="1">
        <f t="shared" si="3"/>
        <v>1.6459655804990793E-2</v>
      </c>
    </row>
    <row r="111" spans="1:7" ht="13" x14ac:dyDescent="0.3">
      <c r="A111" s="18">
        <v>45187</v>
      </c>
      <c r="B111" s="1">
        <v>603.95001200000002</v>
      </c>
      <c r="C111" s="1">
        <v>131.949997</v>
      </c>
      <c r="F111" s="1">
        <f t="shared" si="2"/>
        <v>8.5638004150888451E-3</v>
      </c>
      <c r="G111" s="1">
        <f t="shared" si="3"/>
        <v>1.8964542432562935E-3</v>
      </c>
    </row>
    <row r="112" spans="1:7" ht="13" x14ac:dyDescent="0.3">
      <c r="A112" s="18">
        <v>45189</v>
      </c>
      <c r="B112" s="1">
        <v>601.09997599999997</v>
      </c>
      <c r="C112" s="1">
        <v>130.449997</v>
      </c>
      <c r="F112" s="1">
        <f t="shared" si="2"/>
        <v>-4.7301628021670728E-3</v>
      </c>
      <c r="G112" s="1">
        <f t="shared" si="3"/>
        <v>-1.1433051628027787E-2</v>
      </c>
    </row>
    <row r="113" spans="1:7" ht="13" x14ac:dyDescent="0.3">
      <c r="A113" s="18">
        <v>45190</v>
      </c>
      <c r="B113" s="1">
        <v>588.15002400000003</v>
      </c>
      <c r="C113" s="1">
        <v>128.300003</v>
      </c>
      <c r="F113" s="1">
        <f t="shared" si="2"/>
        <v>-2.1779211905948198E-2</v>
      </c>
      <c r="G113" s="1">
        <f t="shared" si="3"/>
        <v>-1.6618693581132823E-2</v>
      </c>
    </row>
    <row r="114" spans="1:7" ht="13" x14ac:dyDescent="0.3">
      <c r="A114" s="18">
        <v>45191</v>
      </c>
      <c r="B114" s="1">
        <v>598.15002400000003</v>
      </c>
      <c r="C114" s="1">
        <v>127.800003</v>
      </c>
      <c r="F114" s="1">
        <f t="shared" si="2"/>
        <v>1.6859540528260865E-2</v>
      </c>
      <c r="G114" s="1">
        <f t="shared" si="3"/>
        <v>-3.9047295866747492E-3</v>
      </c>
    </row>
    <row r="115" spans="1:7" ht="13" x14ac:dyDescent="0.3">
      <c r="A115" s="18">
        <v>45194</v>
      </c>
      <c r="B115" s="1">
        <v>594.04998799999998</v>
      </c>
      <c r="C115" s="1">
        <v>126.75</v>
      </c>
      <c r="F115" s="1">
        <f t="shared" si="2"/>
        <v>-6.8781280366508732E-3</v>
      </c>
      <c r="G115" s="1">
        <f t="shared" si="3"/>
        <v>-8.2499229463200638E-3</v>
      </c>
    </row>
    <row r="116" spans="1:7" ht="13" x14ac:dyDescent="0.3">
      <c r="A116" s="18">
        <v>45195</v>
      </c>
      <c r="B116" s="1">
        <v>594.40002400000003</v>
      </c>
      <c r="C116" s="1">
        <v>127.400002</v>
      </c>
      <c r="F116" s="1">
        <f t="shared" si="2"/>
        <v>5.8906307642298352E-4</v>
      </c>
      <c r="G116" s="1">
        <f t="shared" si="3"/>
        <v>5.1151163653574095E-3</v>
      </c>
    </row>
    <row r="117" spans="1:7" ht="13" x14ac:dyDescent="0.3">
      <c r="A117" s="18">
        <v>45196</v>
      </c>
      <c r="B117" s="1">
        <v>589.75</v>
      </c>
      <c r="C117" s="1">
        <v>128.89999399999999</v>
      </c>
      <c r="F117" s="1">
        <f t="shared" si="2"/>
        <v>-7.8538154926148535E-3</v>
      </c>
      <c r="G117" s="1">
        <f t="shared" si="3"/>
        <v>1.1705104560779143E-2</v>
      </c>
    </row>
    <row r="118" spans="1:7" ht="13" x14ac:dyDescent="0.3">
      <c r="A118" s="18">
        <v>45197</v>
      </c>
      <c r="B118" s="1">
        <v>589.95001200000002</v>
      </c>
      <c r="C118" s="1">
        <v>128.14999399999999</v>
      </c>
      <c r="F118" s="1">
        <f t="shared" si="2"/>
        <v>3.3908959885052656E-4</v>
      </c>
      <c r="G118" s="1">
        <f t="shared" si="3"/>
        <v>-5.8354574074828951E-3</v>
      </c>
    </row>
    <row r="119" spans="1:7" ht="13" x14ac:dyDescent="0.3">
      <c r="A119" s="18">
        <v>45198</v>
      </c>
      <c r="B119" s="1">
        <v>598.54998799999998</v>
      </c>
      <c r="C119" s="1">
        <v>126.800003</v>
      </c>
      <c r="F119" s="1">
        <f t="shared" si="2"/>
        <v>1.4472235762293379E-2</v>
      </c>
      <c r="G119" s="1">
        <f t="shared" si="3"/>
        <v>-1.059034032751504E-2</v>
      </c>
    </row>
    <row r="120" spans="1:7" ht="13" x14ac:dyDescent="0.3">
      <c r="A120" s="18">
        <v>45202</v>
      </c>
      <c r="B120" s="1">
        <v>602.95001200000002</v>
      </c>
      <c r="C120" s="1">
        <v>128.89999399999999</v>
      </c>
      <c r="F120" s="1">
        <f t="shared" si="2"/>
        <v>7.3242508028208177E-3</v>
      </c>
      <c r="G120" s="1">
        <f t="shared" si="3"/>
        <v>1.6425797734997964E-2</v>
      </c>
    </row>
    <row r="121" spans="1:7" ht="13" x14ac:dyDescent="0.3">
      <c r="A121" s="18">
        <v>45203</v>
      </c>
      <c r="B121" s="1">
        <v>586.25</v>
      </c>
      <c r="C121" s="1">
        <v>128</v>
      </c>
      <c r="F121" s="1">
        <f t="shared" si="2"/>
        <v>-2.8087974691260082E-2</v>
      </c>
      <c r="G121" s="1">
        <f t="shared" si="3"/>
        <v>-7.0065994778119875E-3</v>
      </c>
    </row>
    <row r="122" spans="1:7" ht="13" x14ac:dyDescent="0.3">
      <c r="A122" s="18">
        <v>45204</v>
      </c>
      <c r="B122" s="1">
        <v>592.15002400000003</v>
      </c>
      <c r="C122" s="1">
        <v>125.300003</v>
      </c>
      <c r="F122" s="1">
        <f t="shared" si="2"/>
        <v>1.001370193728522E-2</v>
      </c>
      <c r="G122" s="1">
        <f t="shared" si="3"/>
        <v>-2.1319378075056895E-2</v>
      </c>
    </row>
    <row r="123" spans="1:7" ht="13" x14ac:dyDescent="0.3">
      <c r="A123" s="18">
        <v>45205</v>
      </c>
      <c r="B123" s="1">
        <v>594.25</v>
      </c>
      <c r="C123" s="1">
        <v>125.25</v>
      </c>
      <c r="F123" s="1">
        <f t="shared" si="2"/>
        <v>3.5400845425289456E-3</v>
      </c>
      <c r="G123" s="1">
        <f t="shared" si="3"/>
        <v>-3.991458795860746E-4</v>
      </c>
    </row>
    <row r="124" spans="1:7" ht="13" x14ac:dyDescent="0.3">
      <c r="A124" s="18">
        <v>45208</v>
      </c>
      <c r="B124" s="1">
        <v>585.09997599999997</v>
      </c>
      <c r="C124" s="1">
        <v>125.900002</v>
      </c>
      <c r="F124" s="1">
        <f t="shared" si="2"/>
        <v>-1.5517374464743128E-2</v>
      </c>
      <c r="G124" s="1">
        <f t="shared" si="3"/>
        <v>5.1762169709507122E-3</v>
      </c>
    </row>
    <row r="125" spans="1:7" ht="13" x14ac:dyDescent="0.3">
      <c r="A125" s="18">
        <v>45209</v>
      </c>
      <c r="B125" s="1">
        <v>591.65002400000003</v>
      </c>
      <c r="C125" s="1">
        <v>123.849998</v>
      </c>
      <c r="F125" s="1">
        <f t="shared" si="2"/>
        <v>1.1132552619529685E-2</v>
      </c>
      <c r="G125" s="1">
        <f t="shared" si="3"/>
        <v>-1.6416817149123207E-2</v>
      </c>
    </row>
    <row r="126" spans="1:7" ht="13" x14ac:dyDescent="0.3">
      <c r="A126" s="18">
        <v>45210</v>
      </c>
      <c r="B126" s="1">
        <v>588.34997599999997</v>
      </c>
      <c r="C126" s="1">
        <v>125.300003</v>
      </c>
      <c r="F126" s="1">
        <f t="shared" si="2"/>
        <v>-5.5933162771984839E-3</v>
      </c>
      <c r="G126" s="1">
        <f t="shared" si="3"/>
        <v>1.1639746057758724E-2</v>
      </c>
    </row>
    <row r="127" spans="1:7" ht="13" x14ac:dyDescent="0.3">
      <c r="A127" s="18">
        <v>45211</v>
      </c>
      <c r="B127" s="1">
        <v>586.04998799999998</v>
      </c>
      <c r="C127" s="1">
        <v>124.949997</v>
      </c>
      <c r="F127" s="1">
        <f t="shared" si="2"/>
        <v>-3.9168784247710347E-3</v>
      </c>
      <c r="G127" s="1">
        <f t="shared" si="3"/>
        <v>-2.7972525732029999E-3</v>
      </c>
    </row>
    <row r="128" spans="1:7" ht="13" x14ac:dyDescent="0.3">
      <c r="A128" s="18">
        <v>45212</v>
      </c>
      <c r="B128" s="1">
        <v>576.15002400000003</v>
      </c>
      <c r="C128" s="1">
        <v>125.900002</v>
      </c>
      <c r="F128" s="1">
        <f t="shared" si="2"/>
        <v>-1.7037004577279025E-2</v>
      </c>
      <c r="G128" s="1">
        <f t="shared" si="3"/>
        <v>7.5743236645677073E-3</v>
      </c>
    </row>
    <row r="129" spans="1:7" ht="13" x14ac:dyDescent="0.3">
      <c r="A129" s="18">
        <v>45215</v>
      </c>
      <c r="B129" s="1">
        <v>575.65002400000003</v>
      </c>
      <c r="C129" s="1">
        <v>125.050003</v>
      </c>
      <c r="F129" s="1">
        <f t="shared" si="2"/>
        <v>-8.6820630416850294E-4</v>
      </c>
      <c r="G129" s="1">
        <f t="shared" si="3"/>
        <v>-6.7742756218932736E-3</v>
      </c>
    </row>
    <row r="130" spans="1:7" ht="13" x14ac:dyDescent="0.3">
      <c r="A130" s="18">
        <v>45216</v>
      </c>
      <c r="B130" s="1">
        <v>576.45001200000002</v>
      </c>
      <c r="C130" s="1">
        <v>127</v>
      </c>
      <c r="F130" s="1">
        <f t="shared" si="2"/>
        <v>1.388747684359411E-3</v>
      </c>
      <c r="G130" s="1">
        <f t="shared" si="3"/>
        <v>1.5473405144559603E-2</v>
      </c>
    </row>
    <row r="131" spans="1:7" ht="13" x14ac:dyDescent="0.3">
      <c r="A131" s="18">
        <v>45217</v>
      </c>
      <c r="B131" s="1">
        <v>572.65002400000003</v>
      </c>
      <c r="C131" s="1">
        <v>127.400002</v>
      </c>
      <c r="F131" s="1">
        <f t="shared" si="2"/>
        <v>-6.6138747418915799E-3</v>
      </c>
      <c r="G131" s="1">
        <f t="shared" si="3"/>
        <v>3.1446723780586133E-3</v>
      </c>
    </row>
    <row r="132" spans="1:7" ht="13" x14ac:dyDescent="0.3">
      <c r="A132" s="18">
        <v>45218</v>
      </c>
      <c r="B132" s="1">
        <v>571.20001200000002</v>
      </c>
      <c r="C132" s="1">
        <v>127.099998</v>
      </c>
      <c r="F132" s="1">
        <f t="shared" si="2"/>
        <v>-2.5353197203631284E-3</v>
      </c>
      <c r="G132" s="1">
        <f t="shared" si="3"/>
        <v>-2.3575963768829914E-3</v>
      </c>
    </row>
    <row r="133" spans="1:7" ht="13" x14ac:dyDescent="0.3">
      <c r="A133" s="18">
        <v>45219</v>
      </c>
      <c r="B133" s="1">
        <v>563.09997599999997</v>
      </c>
      <c r="C133" s="1">
        <v>126</v>
      </c>
      <c r="F133" s="1">
        <f t="shared" si="2"/>
        <v>-1.428224239440995E-2</v>
      </c>
      <c r="G133" s="1">
        <f t="shared" si="3"/>
        <v>-8.6922555082890526E-3</v>
      </c>
    </row>
    <row r="134" spans="1:7" ht="13" x14ac:dyDescent="0.3">
      <c r="A134" s="18">
        <v>45222</v>
      </c>
      <c r="B134" s="1">
        <v>552.95001200000002</v>
      </c>
      <c r="C134" s="1">
        <v>123.099998</v>
      </c>
      <c r="F134" s="1">
        <f t="shared" ref="F134:F197" si="4">LN(B134/B133)</f>
        <v>-1.818958641621771E-2</v>
      </c>
      <c r="G134" s="1">
        <f t="shared" ref="G134:G197" si="5">LN(C134/C133)</f>
        <v>-2.328489000802406E-2</v>
      </c>
    </row>
    <row r="135" spans="1:7" ht="13" x14ac:dyDescent="0.3">
      <c r="A135" s="18">
        <v>45224</v>
      </c>
      <c r="B135" s="1">
        <v>556.20001200000002</v>
      </c>
      <c r="C135" s="1">
        <v>120</v>
      </c>
      <c r="F135" s="1">
        <f t="shared" si="4"/>
        <v>5.8603601516871535E-3</v>
      </c>
      <c r="G135" s="1">
        <f t="shared" si="5"/>
        <v>-2.5505274161407961E-2</v>
      </c>
    </row>
    <row r="136" spans="1:7" ht="13" x14ac:dyDescent="0.3">
      <c r="A136" s="18">
        <v>45225</v>
      </c>
      <c r="B136" s="1">
        <v>547</v>
      </c>
      <c r="C136" s="1">
        <v>121.349998</v>
      </c>
      <c r="F136" s="1">
        <f t="shared" si="4"/>
        <v>-1.6679160952856053E-2</v>
      </c>
      <c r="G136" s="1">
        <f t="shared" si="5"/>
        <v>1.1187172909311618E-2</v>
      </c>
    </row>
    <row r="137" spans="1:7" ht="13" x14ac:dyDescent="0.3">
      <c r="A137" s="18">
        <v>45226</v>
      </c>
      <c r="B137" s="1">
        <v>561.15002400000003</v>
      </c>
      <c r="C137" s="1">
        <v>119.900002</v>
      </c>
      <c r="F137" s="1">
        <f t="shared" si="4"/>
        <v>2.5539489809595802E-2</v>
      </c>
      <c r="G137" s="1">
        <f t="shared" si="5"/>
        <v>-1.2020836977322117E-2</v>
      </c>
    </row>
    <row r="138" spans="1:7" ht="13" x14ac:dyDescent="0.3">
      <c r="A138" s="18">
        <v>45229</v>
      </c>
      <c r="B138" s="1">
        <v>565.20001200000002</v>
      </c>
      <c r="C138" s="1">
        <v>119.900002</v>
      </c>
      <c r="F138" s="1">
        <f t="shared" si="4"/>
        <v>7.1913798102177032E-3</v>
      </c>
      <c r="G138" s="1">
        <f t="shared" si="5"/>
        <v>0</v>
      </c>
    </row>
    <row r="139" spans="1:7" ht="13" x14ac:dyDescent="0.3">
      <c r="A139" s="18">
        <v>45230</v>
      </c>
      <c r="B139" s="1">
        <v>565.54998799999998</v>
      </c>
      <c r="C139" s="1">
        <v>119.150002</v>
      </c>
      <c r="F139" s="1">
        <f t="shared" si="4"/>
        <v>6.1901571731194074E-4</v>
      </c>
      <c r="G139" s="1">
        <f t="shared" si="5"/>
        <v>-6.274858383720148E-3</v>
      </c>
    </row>
    <row r="140" spans="1:7" ht="13" x14ac:dyDescent="0.3">
      <c r="A140" s="18">
        <v>45231</v>
      </c>
      <c r="B140" s="1">
        <v>566.40002400000003</v>
      </c>
      <c r="C140" s="1">
        <v>118.75</v>
      </c>
      <c r="F140" s="1">
        <f t="shared" si="4"/>
        <v>1.5018969932836933E-3</v>
      </c>
      <c r="G140" s="1">
        <f t="shared" si="5"/>
        <v>-3.3627774155647718E-3</v>
      </c>
    </row>
    <row r="141" spans="1:7" ht="13" x14ac:dyDescent="0.3">
      <c r="A141" s="18">
        <v>45232</v>
      </c>
      <c r="B141" s="1">
        <v>572.09997599999997</v>
      </c>
      <c r="C141" s="1">
        <v>116.599998</v>
      </c>
      <c r="F141" s="1">
        <f t="shared" si="4"/>
        <v>1.0013174571383671E-2</v>
      </c>
      <c r="G141" s="1">
        <f t="shared" si="5"/>
        <v>-1.8271186151017398E-2</v>
      </c>
    </row>
    <row r="142" spans="1:7" ht="13" x14ac:dyDescent="0.3">
      <c r="A142" s="18">
        <v>45233</v>
      </c>
      <c r="B142" s="1">
        <v>578.15002400000003</v>
      </c>
      <c r="C142" s="1">
        <v>118.099998</v>
      </c>
      <c r="F142" s="1">
        <f t="shared" si="4"/>
        <v>1.0519632762914271E-2</v>
      </c>
      <c r="G142" s="1">
        <f t="shared" si="5"/>
        <v>1.2782449504782314E-2</v>
      </c>
    </row>
    <row r="143" spans="1:7" ht="13" x14ac:dyDescent="0.3">
      <c r="A143" s="18">
        <v>45236</v>
      </c>
      <c r="B143" s="1">
        <v>574.34997599999997</v>
      </c>
      <c r="C143" s="1">
        <v>117.300003</v>
      </c>
      <c r="F143" s="1">
        <f t="shared" si="4"/>
        <v>-6.5944672816433273E-3</v>
      </c>
      <c r="G143" s="1">
        <f t="shared" si="5"/>
        <v>-6.7969250336383513E-3</v>
      </c>
    </row>
    <row r="144" spans="1:7" ht="13" x14ac:dyDescent="0.3">
      <c r="A144" s="18">
        <v>45237</v>
      </c>
      <c r="B144" s="1">
        <v>579.75</v>
      </c>
      <c r="C144" s="1">
        <v>119.400002</v>
      </c>
      <c r="F144" s="1">
        <f t="shared" si="4"/>
        <v>9.3580513305960532E-3</v>
      </c>
      <c r="G144" s="1">
        <f t="shared" si="5"/>
        <v>1.7744436474043272E-2</v>
      </c>
    </row>
    <row r="145" spans="1:7" ht="13" x14ac:dyDescent="0.3">
      <c r="A145" s="18">
        <v>45238</v>
      </c>
      <c r="B145" s="1">
        <v>580.29998799999998</v>
      </c>
      <c r="C145" s="1">
        <v>119.650002</v>
      </c>
      <c r="F145" s="1">
        <f t="shared" si="4"/>
        <v>9.48214381962218E-4</v>
      </c>
      <c r="G145" s="1">
        <f t="shared" si="5"/>
        <v>2.0916133608818413E-3</v>
      </c>
    </row>
    <row r="146" spans="1:7" ht="13" x14ac:dyDescent="0.3">
      <c r="A146" s="18">
        <v>45239</v>
      </c>
      <c r="B146" s="1">
        <v>578.34997599999997</v>
      </c>
      <c r="C146" s="1">
        <v>119.050003</v>
      </c>
      <c r="F146" s="1">
        <f t="shared" si="4"/>
        <v>-3.3660102735567237E-3</v>
      </c>
      <c r="G146" s="1">
        <f t="shared" si="5"/>
        <v>-5.0272329374346147E-3</v>
      </c>
    </row>
    <row r="147" spans="1:7" ht="13" x14ac:dyDescent="0.3">
      <c r="A147" s="18">
        <v>45240</v>
      </c>
      <c r="B147" s="1">
        <v>579.5</v>
      </c>
      <c r="C147" s="1">
        <v>119.650002</v>
      </c>
      <c r="F147" s="1">
        <f t="shared" si="4"/>
        <v>1.986482535760017E-3</v>
      </c>
      <c r="G147" s="1">
        <f t="shared" si="5"/>
        <v>5.0272329374346138E-3</v>
      </c>
    </row>
    <row r="148" spans="1:7" ht="13" x14ac:dyDescent="0.3">
      <c r="A148" s="18">
        <v>45243</v>
      </c>
      <c r="B148" s="1">
        <v>581.34997599999997</v>
      </c>
      <c r="C148" s="1">
        <v>120.050003</v>
      </c>
      <c r="F148" s="1">
        <f t="shared" si="4"/>
        <v>3.1872810515898051E-3</v>
      </c>
      <c r="G148" s="1">
        <f t="shared" si="5"/>
        <v>3.3375165870475386E-3</v>
      </c>
    </row>
    <row r="149" spans="1:7" ht="13" x14ac:dyDescent="0.3">
      <c r="A149" s="18">
        <v>45245</v>
      </c>
      <c r="B149" s="1">
        <v>584.70001200000002</v>
      </c>
      <c r="C149" s="1">
        <v>121</v>
      </c>
      <c r="F149" s="1">
        <f t="shared" si="4"/>
        <v>5.7459718735738069E-3</v>
      </c>
      <c r="G149" s="1">
        <f t="shared" si="5"/>
        <v>7.882197939891547E-3</v>
      </c>
    </row>
    <row r="150" spans="1:7" ht="13" x14ac:dyDescent="0.3">
      <c r="A150" s="18">
        <v>45246</v>
      </c>
      <c r="B150" s="1">
        <v>584.65002400000003</v>
      </c>
      <c r="C150" s="1">
        <v>124.050003</v>
      </c>
      <c r="F150" s="1">
        <f t="shared" si="4"/>
        <v>-8.5497068442231102E-5</v>
      </c>
      <c r="G150" s="1">
        <f t="shared" si="5"/>
        <v>2.4894188724865419E-2</v>
      </c>
    </row>
    <row r="151" spans="1:7" ht="13" x14ac:dyDescent="0.3">
      <c r="A151" s="18">
        <v>45247</v>
      </c>
      <c r="B151" s="1">
        <v>563.04998799999998</v>
      </c>
      <c r="C151" s="1">
        <v>124.699997</v>
      </c>
      <c r="F151" s="1">
        <f t="shared" si="4"/>
        <v>-3.7645005805987827E-2</v>
      </c>
      <c r="G151" s="1">
        <f t="shared" si="5"/>
        <v>5.2260943066452211E-3</v>
      </c>
    </row>
    <row r="152" spans="1:7" ht="13" x14ac:dyDescent="0.3">
      <c r="A152" s="18">
        <v>45250</v>
      </c>
      <c r="B152" s="1">
        <v>563.75</v>
      </c>
      <c r="C152" s="1">
        <v>125.199997</v>
      </c>
      <c r="F152" s="1">
        <f t="shared" si="4"/>
        <v>1.2424779863482571E-3</v>
      </c>
      <c r="G152" s="1">
        <f t="shared" si="5"/>
        <v>4.0016060760846971E-3</v>
      </c>
    </row>
    <row r="153" spans="1:7" ht="13" x14ac:dyDescent="0.3">
      <c r="A153" s="18">
        <v>45251</v>
      </c>
      <c r="B153" s="1">
        <v>561.5</v>
      </c>
      <c r="C153" s="1">
        <v>124.349998</v>
      </c>
      <c r="F153" s="1">
        <f t="shared" si="4"/>
        <v>-3.9991166383902665E-3</v>
      </c>
      <c r="G153" s="1">
        <f t="shared" si="5"/>
        <v>-6.812280538557842E-3</v>
      </c>
    </row>
    <row r="154" spans="1:7" ht="13" x14ac:dyDescent="0.3">
      <c r="A154" s="18">
        <v>45252</v>
      </c>
      <c r="B154" s="1">
        <v>558.95001200000002</v>
      </c>
      <c r="C154" s="1">
        <v>126.25</v>
      </c>
      <c r="F154" s="1">
        <f t="shared" si="4"/>
        <v>-4.5517289933378223E-3</v>
      </c>
      <c r="G154" s="1">
        <f t="shared" si="5"/>
        <v>1.516391398969052E-2</v>
      </c>
    </row>
    <row r="155" spans="1:7" ht="13" x14ac:dyDescent="0.3">
      <c r="A155" s="18">
        <v>45253</v>
      </c>
      <c r="B155" s="1">
        <v>559.95001200000002</v>
      </c>
      <c r="C155" s="1">
        <v>126.099998</v>
      </c>
      <c r="F155" s="1">
        <f t="shared" si="4"/>
        <v>1.7874702740272401E-3</v>
      </c>
      <c r="G155" s="1">
        <f t="shared" si="5"/>
        <v>-1.1888410450236881E-3</v>
      </c>
    </row>
    <row r="156" spans="1:7" ht="13" x14ac:dyDescent="0.3">
      <c r="A156" s="18">
        <v>45254</v>
      </c>
      <c r="B156" s="1">
        <v>560.34997599999997</v>
      </c>
      <c r="C156" s="1">
        <v>126.699997</v>
      </c>
      <c r="F156" s="1">
        <f t="shared" si="4"/>
        <v>7.1403020847495002E-4</v>
      </c>
      <c r="G156" s="1">
        <f t="shared" si="5"/>
        <v>4.7468365386681742E-3</v>
      </c>
    </row>
    <row r="157" spans="1:7" ht="13" x14ac:dyDescent="0.3">
      <c r="A157" s="18">
        <v>45258</v>
      </c>
      <c r="B157" s="1">
        <v>564.45001200000002</v>
      </c>
      <c r="C157" s="1">
        <v>125.949997</v>
      </c>
      <c r="F157" s="1">
        <f t="shared" si="4"/>
        <v>7.2902812995269701E-3</v>
      </c>
      <c r="G157" s="1">
        <f t="shared" si="5"/>
        <v>-5.9370846694705125E-3</v>
      </c>
    </row>
    <row r="158" spans="1:7" ht="13" x14ac:dyDescent="0.3">
      <c r="A158" s="18">
        <v>45259</v>
      </c>
      <c r="B158" s="1">
        <v>568.59997599999997</v>
      </c>
      <c r="C158" s="1">
        <v>126.849998</v>
      </c>
      <c r="F158" s="1">
        <f t="shared" si="4"/>
        <v>7.3253300407751876E-3</v>
      </c>
      <c r="G158" s="1">
        <f t="shared" si="5"/>
        <v>7.1202912989942165E-3</v>
      </c>
    </row>
    <row r="159" spans="1:7" ht="13" x14ac:dyDescent="0.3">
      <c r="A159" s="18">
        <v>45260</v>
      </c>
      <c r="B159" s="1">
        <v>564.75</v>
      </c>
      <c r="C159" s="1">
        <v>127.75</v>
      </c>
      <c r="F159" s="1">
        <f t="shared" si="4"/>
        <v>-6.7940016598515875E-3</v>
      </c>
      <c r="G159" s="1">
        <f t="shared" si="5"/>
        <v>7.0699588051765377E-3</v>
      </c>
    </row>
    <row r="160" spans="1:7" ht="13" x14ac:dyDescent="0.3">
      <c r="A160" s="18">
        <v>45261</v>
      </c>
      <c r="B160" s="1">
        <v>571.75</v>
      </c>
      <c r="C160" s="1">
        <v>127.900002</v>
      </c>
      <c r="F160" s="1">
        <f t="shared" si="4"/>
        <v>1.2318677554777932E-2</v>
      </c>
      <c r="G160" s="1">
        <f t="shared" si="5"/>
        <v>1.1734951381996346E-3</v>
      </c>
    </row>
    <row r="161" spans="1:7" ht="13" x14ac:dyDescent="0.3">
      <c r="A161" s="18">
        <v>45264</v>
      </c>
      <c r="B161" s="1">
        <v>594.70001200000002</v>
      </c>
      <c r="C161" s="1">
        <v>130</v>
      </c>
      <c r="F161" s="1">
        <f t="shared" si="4"/>
        <v>3.9355263987898487E-2</v>
      </c>
      <c r="G161" s="1">
        <f t="shared" si="5"/>
        <v>1.628572623356898E-2</v>
      </c>
    </row>
    <row r="162" spans="1:7" ht="13" x14ac:dyDescent="0.3">
      <c r="A162" s="18">
        <v>45265</v>
      </c>
      <c r="B162" s="1">
        <v>608.25</v>
      </c>
      <c r="C162" s="1">
        <v>131</v>
      </c>
      <c r="F162" s="1">
        <f t="shared" si="4"/>
        <v>2.2528884772842973E-2</v>
      </c>
      <c r="G162" s="1">
        <f t="shared" si="5"/>
        <v>7.6628727455690972E-3</v>
      </c>
    </row>
    <row r="163" spans="1:7" ht="13" x14ac:dyDescent="0.3">
      <c r="A163" s="18">
        <v>45266</v>
      </c>
      <c r="B163" s="1">
        <v>608.45001200000002</v>
      </c>
      <c r="C163" s="1">
        <v>131.60000600000001</v>
      </c>
      <c r="F163" s="1">
        <f t="shared" si="4"/>
        <v>3.2877784142186576E-4</v>
      </c>
      <c r="G163" s="1">
        <f t="shared" si="5"/>
        <v>4.5697412827694715E-3</v>
      </c>
    </row>
    <row r="164" spans="1:7" ht="13" x14ac:dyDescent="0.3">
      <c r="A164" s="18">
        <v>45267</v>
      </c>
      <c r="B164" s="1">
        <v>611.70001200000002</v>
      </c>
      <c r="C164" s="1">
        <v>131.85000600000001</v>
      </c>
      <c r="F164" s="1">
        <f t="shared" si="4"/>
        <v>5.3272263609246617E-3</v>
      </c>
      <c r="G164" s="1">
        <f t="shared" si="5"/>
        <v>1.897893821630762E-3</v>
      </c>
    </row>
    <row r="165" spans="1:7" ht="13" x14ac:dyDescent="0.3">
      <c r="A165" s="18">
        <v>45268</v>
      </c>
      <c r="B165" s="1">
        <v>614.15002400000003</v>
      </c>
      <c r="C165" s="1">
        <v>130</v>
      </c>
      <c r="F165" s="1">
        <f t="shared" si="4"/>
        <v>3.9972511975252542E-3</v>
      </c>
      <c r="G165" s="1">
        <f t="shared" si="5"/>
        <v>-1.4130507849969455E-2</v>
      </c>
    </row>
    <row r="166" spans="1:7" ht="13" x14ac:dyDescent="0.3">
      <c r="A166" s="18">
        <v>45271</v>
      </c>
      <c r="B166" s="1">
        <v>614.25</v>
      </c>
      <c r="C166" s="1">
        <v>129.199997</v>
      </c>
      <c r="F166" s="1">
        <f t="shared" si="4"/>
        <v>1.6277433778486841E-4</v>
      </c>
      <c r="G166" s="1">
        <f t="shared" si="5"/>
        <v>-6.1728823268954406E-3</v>
      </c>
    </row>
    <row r="167" spans="1:7" ht="13" x14ac:dyDescent="0.3">
      <c r="A167" s="18">
        <v>45272</v>
      </c>
      <c r="B167" s="1">
        <v>612.40002400000003</v>
      </c>
      <c r="C167" s="1">
        <v>130.050003</v>
      </c>
      <c r="F167" s="1">
        <f t="shared" si="4"/>
        <v>-3.0163084276886654E-3</v>
      </c>
      <c r="G167" s="1">
        <f t="shared" si="5"/>
        <v>6.5574468340240345E-3</v>
      </c>
    </row>
    <row r="168" spans="1:7" ht="13" x14ac:dyDescent="0.3">
      <c r="A168" s="18">
        <v>45273</v>
      </c>
      <c r="B168" s="1">
        <v>619.84997599999997</v>
      </c>
      <c r="C168" s="1">
        <v>130.10000600000001</v>
      </c>
      <c r="F168" s="1">
        <f t="shared" si="4"/>
        <v>1.2091771591510264E-2</v>
      </c>
      <c r="G168" s="1">
        <f t="shared" si="5"/>
        <v>3.8441667411803667E-4</v>
      </c>
    </row>
    <row r="169" spans="1:7" ht="13" x14ac:dyDescent="0.3">
      <c r="A169" s="18">
        <v>45274</v>
      </c>
      <c r="B169" s="1">
        <v>623.65002400000003</v>
      </c>
      <c r="C169" s="1">
        <v>131.39999399999999</v>
      </c>
      <c r="F169" s="1">
        <f t="shared" si="4"/>
        <v>6.1118774897307715E-3</v>
      </c>
      <c r="G169" s="1">
        <f t="shared" si="5"/>
        <v>9.9426287515795488E-3</v>
      </c>
    </row>
    <row r="170" spans="1:7" ht="13" x14ac:dyDescent="0.3">
      <c r="A170" s="18">
        <v>45275</v>
      </c>
      <c r="B170" s="1">
        <v>648.25</v>
      </c>
      <c r="C170" s="1">
        <v>132</v>
      </c>
      <c r="F170" s="1">
        <f t="shared" si="4"/>
        <v>3.8687072363932894E-2</v>
      </c>
      <c r="G170" s="1">
        <f t="shared" si="5"/>
        <v>4.5558621979621813E-3</v>
      </c>
    </row>
    <row r="171" spans="1:7" ht="13" x14ac:dyDescent="0.3">
      <c r="A171" s="18">
        <v>45278</v>
      </c>
      <c r="B171" s="1">
        <v>648.5</v>
      </c>
      <c r="C171" s="1">
        <v>136.449997</v>
      </c>
      <c r="F171" s="1">
        <f t="shared" si="4"/>
        <v>3.8557933772483756E-4</v>
      </c>
      <c r="G171" s="1">
        <f t="shared" si="5"/>
        <v>3.3156302581900873E-2</v>
      </c>
    </row>
    <row r="172" spans="1:7" ht="13" x14ac:dyDescent="0.3">
      <c r="A172" s="18">
        <v>45279</v>
      </c>
      <c r="B172" s="1">
        <v>655.40002400000003</v>
      </c>
      <c r="C172" s="1">
        <v>136.60000600000001</v>
      </c>
      <c r="F172" s="1">
        <f t="shared" si="4"/>
        <v>1.0583769127073782E-2</v>
      </c>
      <c r="G172" s="1">
        <f t="shared" si="5"/>
        <v>1.0987658922823836E-3</v>
      </c>
    </row>
    <row r="173" spans="1:7" ht="13" x14ac:dyDescent="0.3">
      <c r="A173" s="18">
        <v>45280</v>
      </c>
      <c r="B173" s="1">
        <v>636.45001200000002</v>
      </c>
      <c r="C173" s="1">
        <v>135.39999399999999</v>
      </c>
      <c r="F173" s="1">
        <f t="shared" si="4"/>
        <v>-2.9339893712544932E-2</v>
      </c>
      <c r="G173" s="1">
        <f t="shared" si="5"/>
        <v>-8.8236748955267466E-3</v>
      </c>
    </row>
    <row r="174" spans="1:7" ht="13" x14ac:dyDescent="0.3">
      <c r="A174" s="18">
        <v>45281</v>
      </c>
      <c r="B174" s="1">
        <v>643.75</v>
      </c>
      <c r="C174" s="1">
        <v>129.75</v>
      </c>
      <c r="F174" s="1">
        <f t="shared" si="4"/>
        <v>1.1404572806918572E-2</v>
      </c>
      <c r="G174" s="1">
        <f t="shared" si="5"/>
        <v>-4.2623794119029355E-2</v>
      </c>
    </row>
    <row r="175" spans="1:7" ht="13" x14ac:dyDescent="0.3">
      <c r="A175" s="18">
        <v>45282</v>
      </c>
      <c r="B175" s="1">
        <v>636.75</v>
      </c>
      <c r="C175" s="1">
        <v>131</v>
      </c>
      <c r="F175" s="1">
        <f t="shared" si="4"/>
        <v>-1.0933338118379562E-2</v>
      </c>
      <c r="G175" s="1">
        <f t="shared" si="5"/>
        <v>9.5878011551536121E-3</v>
      </c>
    </row>
    <row r="176" spans="1:7" ht="13" x14ac:dyDescent="0.3">
      <c r="A176" s="18">
        <v>45286</v>
      </c>
      <c r="B176" s="1">
        <v>638.04998799999998</v>
      </c>
      <c r="C176" s="1">
        <v>133.550003</v>
      </c>
      <c r="F176" s="1">
        <f t="shared" si="4"/>
        <v>2.0395175131153126E-3</v>
      </c>
      <c r="G176" s="1">
        <f t="shared" si="5"/>
        <v>1.9278638818314819E-2</v>
      </c>
    </row>
    <row r="177" spans="1:7" ht="13" x14ac:dyDescent="0.3">
      <c r="A177" s="18">
        <v>45287</v>
      </c>
      <c r="B177" s="1">
        <v>648.54998799999998</v>
      </c>
      <c r="C177" s="1">
        <v>135.199997</v>
      </c>
      <c r="F177" s="1">
        <f t="shared" si="4"/>
        <v>1.6322451911186215E-2</v>
      </c>
      <c r="G177" s="1">
        <f t="shared" si="5"/>
        <v>1.2279179400047753E-2</v>
      </c>
    </row>
    <row r="178" spans="1:7" ht="13" x14ac:dyDescent="0.3">
      <c r="A178" s="18">
        <v>45288</v>
      </c>
      <c r="B178" s="1">
        <v>651.40002400000003</v>
      </c>
      <c r="C178" s="1">
        <v>137.199997</v>
      </c>
      <c r="F178" s="1">
        <f t="shared" si="4"/>
        <v>4.3848464019857177E-3</v>
      </c>
      <c r="G178" s="1">
        <f t="shared" si="5"/>
        <v>1.4684552006380955E-2</v>
      </c>
    </row>
    <row r="179" spans="1:7" ht="13" x14ac:dyDescent="0.3">
      <c r="A179" s="18">
        <v>45289</v>
      </c>
      <c r="B179" s="1">
        <v>642.04998799999998</v>
      </c>
      <c r="C179" s="1">
        <v>138.14999399999999</v>
      </c>
      <c r="F179" s="1">
        <f t="shared" si="4"/>
        <v>-1.4457766098704054E-2</v>
      </c>
      <c r="G179" s="1">
        <f t="shared" si="5"/>
        <v>6.9003145124759595E-3</v>
      </c>
    </row>
    <row r="180" spans="1:7" ht="13" x14ac:dyDescent="0.3">
      <c r="A180" s="18">
        <v>45292</v>
      </c>
      <c r="B180" s="1">
        <v>641.34997599999997</v>
      </c>
      <c r="C180" s="1">
        <v>139.60000600000001</v>
      </c>
      <c r="F180" s="1">
        <f t="shared" si="4"/>
        <v>-1.0908712623555171E-3</v>
      </c>
      <c r="G180" s="1">
        <f t="shared" si="5"/>
        <v>1.0441225369842518E-2</v>
      </c>
    </row>
    <row r="181" spans="1:7" ht="13" x14ac:dyDescent="0.3">
      <c r="A181" s="18">
        <v>45293</v>
      </c>
      <c r="B181" s="1">
        <v>639.45001200000002</v>
      </c>
      <c r="C181" s="1">
        <v>139.85000600000001</v>
      </c>
      <c r="F181" s="1">
        <f t="shared" si="4"/>
        <v>-2.9668416793380611E-3</v>
      </c>
      <c r="G181" s="1">
        <f t="shared" si="5"/>
        <v>1.7892292428644881E-3</v>
      </c>
    </row>
    <row r="182" spans="1:7" ht="13" x14ac:dyDescent="0.3">
      <c r="A182" s="18">
        <v>45294</v>
      </c>
      <c r="B182" s="1">
        <v>643.45001200000002</v>
      </c>
      <c r="C182" s="1">
        <v>139.60000600000001</v>
      </c>
      <c r="F182" s="1">
        <f t="shared" si="4"/>
        <v>6.2358919436853472E-3</v>
      </c>
      <c r="G182" s="1">
        <f t="shared" si="5"/>
        <v>-1.7892292428644541E-3</v>
      </c>
    </row>
    <row r="183" spans="1:7" ht="13" x14ac:dyDescent="0.3">
      <c r="A183" s="18">
        <v>45295</v>
      </c>
      <c r="B183" s="1">
        <v>642.75</v>
      </c>
      <c r="C183" s="1">
        <v>135.35000600000001</v>
      </c>
      <c r="F183" s="1">
        <f t="shared" si="4"/>
        <v>-1.0884964431426189E-3</v>
      </c>
      <c r="G183" s="1">
        <f t="shared" si="5"/>
        <v>-3.0917172918388646E-2</v>
      </c>
    </row>
    <row r="184" spans="1:7" ht="13" x14ac:dyDescent="0.3">
      <c r="A184" s="18">
        <v>45296</v>
      </c>
      <c r="B184" s="1">
        <v>641.95001200000002</v>
      </c>
      <c r="C184" s="1">
        <v>134.25</v>
      </c>
      <c r="F184" s="1">
        <f t="shared" si="4"/>
        <v>-1.2454084158617955E-3</v>
      </c>
      <c r="G184" s="1">
        <f t="shared" si="5"/>
        <v>-8.1603270008512741E-3</v>
      </c>
    </row>
    <row r="185" spans="1:7" ht="13" x14ac:dyDescent="0.3">
      <c r="A185" s="18">
        <v>45299</v>
      </c>
      <c r="B185" s="1">
        <v>627</v>
      </c>
      <c r="C185" s="1">
        <v>133.64999399999999</v>
      </c>
      <c r="F185" s="1">
        <f t="shared" si="4"/>
        <v>-2.3563897097216395E-2</v>
      </c>
      <c r="G185" s="1">
        <f t="shared" si="5"/>
        <v>-4.4793356974253719E-3</v>
      </c>
    </row>
    <row r="186" spans="1:7" ht="13" x14ac:dyDescent="0.3">
      <c r="A186" s="18">
        <v>45300</v>
      </c>
      <c r="B186" s="1">
        <v>625.40002400000003</v>
      </c>
      <c r="C186" s="1">
        <v>132</v>
      </c>
      <c r="F186" s="1">
        <f t="shared" si="4"/>
        <v>-2.5550572337407437E-3</v>
      </c>
      <c r="G186" s="1">
        <f t="shared" si="5"/>
        <v>-1.2422475105177817E-2</v>
      </c>
    </row>
    <row r="187" spans="1:7" ht="13" x14ac:dyDescent="0.3">
      <c r="A187" s="18">
        <v>45301</v>
      </c>
      <c r="B187" s="1">
        <v>621.75</v>
      </c>
      <c r="C187" s="1">
        <v>133.64999399999999</v>
      </c>
      <c r="F187" s="1">
        <f t="shared" si="4"/>
        <v>-5.8534007156658624E-3</v>
      </c>
      <c r="G187" s="1">
        <f t="shared" si="5"/>
        <v>1.2422475105177869E-2</v>
      </c>
    </row>
    <row r="188" spans="1:7" ht="13" x14ac:dyDescent="0.3">
      <c r="A188" s="18">
        <v>45302</v>
      </c>
      <c r="B188" s="1">
        <v>620.20001200000002</v>
      </c>
      <c r="C188" s="1">
        <v>134.10000600000001</v>
      </c>
      <c r="F188" s="1">
        <f t="shared" si="4"/>
        <v>-2.4960566685684549E-3</v>
      </c>
      <c r="G188" s="1">
        <f t="shared" si="5"/>
        <v>3.3614373388124903E-3</v>
      </c>
    </row>
    <row r="189" spans="1:7" ht="13" x14ac:dyDescent="0.3">
      <c r="A189" s="18">
        <v>45303</v>
      </c>
      <c r="B189" s="1">
        <v>633.59997599999997</v>
      </c>
      <c r="C189" s="1">
        <v>134.89999399999999</v>
      </c>
      <c r="F189" s="1">
        <f t="shared" si="4"/>
        <v>2.1375776606481871E-2</v>
      </c>
      <c r="G189" s="1">
        <f t="shared" si="5"/>
        <v>5.9478837059573951E-3</v>
      </c>
    </row>
    <row r="190" spans="1:7" ht="13" x14ac:dyDescent="0.3">
      <c r="A190" s="18">
        <v>45306</v>
      </c>
      <c r="B190" s="1">
        <v>640.09997599999997</v>
      </c>
      <c r="C190" s="1">
        <v>135.300003</v>
      </c>
      <c r="F190" s="1">
        <f t="shared" si="4"/>
        <v>1.0206574032387922E-2</v>
      </c>
      <c r="G190" s="1">
        <f t="shared" si="5"/>
        <v>2.960838613372682E-3</v>
      </c>
    </row>
    <row r="191" spans="1:7" ht="13" x14ac:dyDescent="0.3">
      <c r="A191" s="18">
        <v>45307</v>
      </c>
      <c r="B191" s="1">
        <v>636.90002400000003</v>
      </c>
      <c r="C191" s="1">
        <v>134.89999399999999</v>
      </c>
      <c r="F191" s="1">
        <f t="shared" si="4"/>
        <v>-5.0116815939712824E-3</v>
      </c>
      <c r="G191" s="1">
        <f t="shared" si="5"/>
        <v>-2.9608386133726074E-3</v>
      </c>
    </row>
    <row r="192" spans="1:7" ht="13" x14ac:dyDescent="0.3">
      <c r="A192" s="18">
        <v>45308</v>
      </c>
      <c r="B192" s="1">
        <v>626</v>
      </c>
      <c r="C192" s="1">
        <v>137.25</v>
      </c>
      <c r="F192" s="1">
        <f t="shared" si="4"/>
        <v>-1.7262323959745599E-2</v>
      </c>
      <c r="G192" s="1">
        <f t="shared" si="5"/>
        <v>1.727036165332144E-2</v>
      </c>
    </row>
    <row r="193" spans="1:7" ht="13" x14ac:dyDescent="0.3">
      <c r="A193" s="18">
        <v>45309</v>
      </c>
      <c r="B193" s="1">
        <v>628.29998799999998</v>
      </c>
      <c r="C193" s="1">
        <v>131.64999399999999</v>
      </c>
      <c r="F193" s="1">
        <f t="shared" si="4"/>
        <v>3.6673692096461756E-3</v>
      </c>
      <c r="G193" s="1">
        <f t="shared" si="5"/>
        <v>-4.1657240022711976E-2</v>
      </c>
    </row>
    <row r="194" spans="1:7" ht="13" x14ac:dyDescent="0.3">
      <c r="A194" s="18">
        <v>45310</v>
      </c>
      <c r="B194" s="1">
        <v>627.75</v>
      </c>
      <c r="C194" s="1">
        <v>131</v>
      </c>
      <c r="F194" s="1">
        <f t="shared" si="4"/>
        <v>-8.7574227205031282E-4</v>
      </c>
      <c r="G194" s="1">
        <f t="shared" si="5"/>
        <v>-4.9495171657764729E-3</v>
      </c>
    </row>
    <row r="195" spans="1:7" ht="13" x14ac:dyDescent="0.3">
      <c r="A195" s="18">
        <v>45314</v>
      </c>
      <c r="B195" s="1">
        <v>605.09997599999997</v>
      </c>
      <c r="C195" s="1">
        <v>134.25</v>
      </c>
      <c r="F195" s="1">
        <f t="shared" si="4"/>
        <v>-3.6748304072285125E-2</v>
      </c>
      <c r="G195" s="1">
        <f t="shared" si="5"/>
        <v>2.4506410187822538E-2</v>
      </c>
    </row>
    <row r="196" spans="1:7" ht="13" x14ac:dyDescent="0.3">
      <c r="A196" s="18">
        <v>45315</v>
      </c>
      <c r="B196" s="1">
        <v>618.29998799999998</v>
      </c>
      <c r="C196" s="1">
        <v>130.10000600000001</v>
      </c>
      <c r="F196" s="1">
        <f t="shared" si="4"/>
        <v>2.1580063191059273E-2</v>
      </c>
      <c r="G196" s="1">
        <f t="shared" si="5"/>
        <v>-3.1400301752144998E-2</v>
      </c>
    </row>
    <row r="197" spans="1:7" ht="13" x14ac:dyDescent="0.3">
      <c r="A197" s="18">
        <v>45316</v>
      </c>
      <c r="B197" s="1">
        <v>612.75</v>
      </c>
      <c r="C197" s="1">
        <v>135.14999399999999</v>
      </c>
      <c r="F197" s="1">
        <f t="shared" si="4"/>
        <v>-9.0167347482465257E-3</v>
      </c>
      <c r="G197" s="1">
        <f t="shared" si="5"/>
        <v>3.8081796690509963E-2</v>
      </c>
    </row>
    <row r="198" spans="1:7" ht="13" x14ac:dyDescent="0.3">
      <c r="A198" s="18">
        <v>45320</v>
      </c>
      <c r="B198" s="1">
        <v>622.95001200000002</v>
      </c>
      <c r="C198" s="1">
        <v>133.75</v>
      </c>
      <c r="F198" s="1">
        <f t="shared" ref="F198:F248" si="6">LN(B198/B197)</f>
        <v>1.6509255599833333E-2</v>
      </c>
      <c r="G198" s="1">
        <f t="shared" ref="G198:G248" si="7">LN(C198/C197)</f>
        <v>-1.0412842551223128E-2</v>
      </c>
    </row>
    <row r="199" spans="1:7" ht="13" x14ac:dyDescent="0.3">
      <c r="A199" s="18">
        <v>45321</v>
      </c>
      <c r="B199" s="1">
        <v>626.75</v>
      </c>
      <c r="C199" s="1">
        <v>135</v>
      </c>
      <c r="F199" s="1">
        <f t="shared" si="6"/>
        <v>6.0814590303474468E-3</v>
      </c>
      <c r="G199" s="1">
        <f t="shared" si="7"/>
        <v>9.3023926623134103E-3</v>
      </c>
    </row>
    <row r="200" spans="1:7" ht="13" x14ac:dyDescent="0.3">
      <c r="A200" s="18">
        <v>45322</v>
      </c>
      <c r="B200" s="1">
        <v>640.5</v>
      </c>
      <c r="C200" s="1">
        <v>134.699997</v>
      </c>
      <c r="F200" s="1">
        <f t="shared" si="6"/>
        <v>2.1701384298386129E-2</v>
      </c>
      <c r="G200" s="1">
        <f t="shared" si="7"/>
        <v>-2.2247172938263948E-3</v>
      </c>
    </row>
    <row r="201" spans="1:7" ht="13" x14ac:dyDescent="0.3">
      <c r="A201" s="18">
        <v>45323</v>
      </c>
      <c r="B201" s="1">
        <v>647.65002400000003</v>
      </c>
      <c r="C201" s="1">
        <v>135.949997</v>
      </c>
      <c r="F201" s="1">
        <f t="shared" si="6"/>
        <v>1.1101342696527815E-2</v>
      </c>
      <c r="G201" s="1">
        <f t="shared" si="7"/>
        <v>9.237087866939905E-3</v>
      </c>
    </row>
    <row r="202" spans="1:7" ht="13" x14ac:dyDescent="0.3">
      <c r="A202" s="18">
        <v>45324</v>
      </c>
      <c r="B202" s="1">
        <v>649.65002400000003</v>
      </c>
      <c r="C202" s="1">
        <v>134.800003</v>
      </c>
      <c r="F202" s="1">
        <f t="shared" si="6"/>
        <v>3.0833292383971567E-3</v>
      </c>
      <c r="G202" s="1">
        <f t="shared" si="7"/>
        <v>-8.4949282781437742E-3</v>
      </c>
    </row>
    <row r="203" spans="1:7" ht="13" x14ac:dyDescent="0.3">
      <c r="A203" s="18">
        <v>45327</v>
      </c>
      <c r="B203" s="1">
        <v>642.95001200000002</v>
      </c>
      <c r="C203" s="1">
        <v>138.699997</v>
      </c>
      <c r="F203" s="1">
        <f t="shared" si="6"/>
        <v>-1.0366813891295429E-2</v>
      </c>
      <c r="G203" s="1">
        <f t="shared" si="7"/>
        <v>2.8521084957970354E-2</v>
      </c>
    </row>
    <row r="204" spans="1:7" ht="13" x14ac:dyDescent="0.3">
      <c r="A204" s="18">
        <v>45328</v>
      </c>
      <c r="B204" s="1">
        <v>650.25</v>
      </c>
      <c r="C204" s="1">
        <v>141.550003</v>
      </c>
      <c r="F204" s="1">
        <f t="shared" si="6"/>
        <v>1.1289924948342316E-2</v>
      </c>
      <c r="G204" s="1">
        <f t="shared" si="7"/>
        <v>2.0339727060463195E-2</v>
      </c>
    </row>
    <row r="205" spans="1:7" ht="13" x14ac:dyDescent="0.3">
      <c r="A205" s="18">
        <v>45329</v>
      </c>
      <c r="B205" s="1">
        <v>675.25</v>
      </c>
      <c r="C205" s="1">
        <v>144.64999399999999</v>
      </c>
      <c r="F205" s="1">
        <f t="shared" si="6"/>
        <v>3.7726088343964077E-2</v>
      </c>
      <c r="G205" s="1">
        <f t="shared" si="7"/>
        <v>2.1663957190877207E-2</v>
      </c>
    </row>
    <row r="206" spans="1:7" ht="13" x14ac:dyDescent="0.3">
      <c r="A206" s="18">
        <v>45330</v>
      </c>
      <c r="B206" s="1">
        <v>699.54998799999998</v>
      </c>
      <c r="C206" s="1">
        <v>144.39999399999999</v>
      </c>
      <c r="F206" s="1">
        <f t="shared" si="6"/>
        <v>3.5354261352685074E-2</v>
      </c>
      <c r="G206" s="1">
        <f t="shared" si="7"/>
        <v>-1.7298050352316581E-3</v>
      </c>
    </row>
    <row r="207" spans="1:7" ht="13" x14ac:dyDescent="0.3">
      <c r="A207" s="18">
        <v>45331</v>
      </c>
      <c r="B207" s="1">
        <v>725.25</v>
      </c>
      <c r="C207" s="1">
        <v>143.64999399999999</v>
      </c>
      <c r="F207" s="1">
        <f t="shared" si="6"/>
        <v>3.6079168976103207E-2</v>
      </c>
      <c r="G207" s="1">
        <f t="shared" si="7"/>
        <v>-5.2074412503672965E-3</v>
      </c>
    </row>
    <row r="208" spans="1:7" ht="13" x14ac:dyDescent="0.3">
      <c r="A208" s="18">
        <v>45334</v>
      </c>
      <c r="B208" s="1">
        <v>707.90002400000003</v>
      </c>
      <c r="C208" s="1">
        <v>141.300003</v>
      </c>
      <c r="F208" s="1">
        <f t="shared" si="6"/>
        <v>-2.4213548318276764E-2</v>
      </c>
      <c r="G208" s="1">
        <f t="shared" si="7"/>
        <v>-1.6494432735207017E-2</v>
      </c>
    </row>
    <row r="209" spans="1:7" ht="13" x14ac:dyDescent="0.3">
      <c r="A209" s="18">
        <v>45335</v>
      </c>
      <c r="B209" s="1">
        <v>713.45001200000002</v>
      </c>
      <c r="C209" s="1">
        <v>137.39999399999999</v>
      </c>
      <c r="F209" s="1">
        <f t="shared" si="6"/>
        <v>7.8094995130263377E-3</v>
      </c>
      <c r="G209" s="1">
        <f t="shared" si="7"/>
        <v>-2.7988974801778355E-2</v>
      </c>
    </row>
    <row r="210" spans="1:7" ht="13" x14ac:dyDescent="0.3">
      <c r="A210" s="18">
        <v>45336</v>
      </c>
      <c r="B210" s="1">
        <v>743.40002400000003</v>
      </c>
      <c r="C210" s="1">
        <v>137.85000600000001</v>
      </c>
      <c r="F210" s="1">
        <f t="shared" si="6"/>
        <v>4.1121915950988158E-2</v>
      </c>
      <c r="G210" s="1">
        <f t="shared" si="7"/>
        <v>3.269844875250524E-3</v>
      </c>
    </row>
    <row r="211" spans="1:7" ht="13" x14ac:dyDescent="0.3">
      <c r="A211" s="18">
        <v>45337</v>
      </c>
      <c r="B211" s="1">
        <v>761.70001200000002</v>
      </c>
      <c r="C211" s="1">
        <v>141.199997</v>
      </c>
      <c r="F211" s="1">
        <f t="shared" si="6"/>
        <v>2.4318502985724896E-2</v>
      </c>
      <c r="G211" s="1">
        <f t="shared" si="7"/>
        <v>2.4011122817306368E-2</v>
      </c>
    </row>
    <row r="212" spans="1:7" ht="13" x14ac:dyDescent="0.3">
      <c r="A212" s="18">
        <v>45338</v>
      </c>
      <c r="B212" s="1">
        <v>754.70001200000002</v>
      </c>
      <c r="C212" s="1">
        <v>141.199997</v>
      </c>
      <c r="F212" s="1">
        <f t="shared" si="6"/>
        <v>-9.232457941795863E-3</v>
      </c>
      <c r="G212" s="1">
        <f t="shared" si="7"/>
        <v>0</v>
      </c>
    </row>
    <row r="213" spans="1:7" ht="13" x14ac:dyDescent="0.3">
      <c r="A213" s="18">
        <v>45341</v>
      </c>
      <c r="B213" s="1">
        <v>759.25</v>
      </c>
      <c r="C213" s="1">
        <v>142.300003</v>
      </c>
      <c r="F213" s="1">
        <f t="shared" si="6"/>
        <v>6.0107687346776925E-3</v>
      </c>
      <c r="G213" s="1">
        <f t="shared" si="7"/>
        <v>7.7602223653446371E-3</v>
      </c>
    </row>
    <row r="214" spans="1:7" ht="13" x14ac:dyDescent="0.3">
      <c r="A214" s="18">
        <v>45342</v>
      </c>
      <c r="B214" s="1">
        <v>760.09997599999997</v>
      </c>
      <c r="C214" s="1">
        <v>141.949997</v>
      </c>
      <c r="F214" s="1">
        <f t="shared" si="6"/>
        <v>1.1188680713433211E-3</v>
      </c>
      <c r="G214" s="1">
        <f t="shared" si="7"/>
        <v>-2.4626643932493752E-3</v>
      </c>
    </row>
    <row r="215" spans="1:7" ht="13" x14ac:dyDescent="0.3">
      <c r="A215" s="18">
        <v>45343</v>
      </c>
      <c r="B215" s="1">
        <v>771.5</v>
      </c>
      <c r="C215" s="1">
        <v>141.050003</v>
      </c>
      <c r="F215" s="1">
        <f t="shared" si="6"/>
        <v>1.4886699806014179E-2</v>
      </c>
      <c r="G215" s="1">
        <f t="shared" si="7"/>
        <v>-6.3604030677191156E-3</v>
      </c>
    </row>
    <row r="216" spans="1:7" ht="13" x14ac:dyDescent="0.3">
      <c r="A216" s="18">
        <v>45344</v>
      </c>
      <c r="B216" s="1">
        <v>765.90002400000003</v>
      </c>
      <c r="C216" s="1">
        <v>143.89999399999999</v>
      </c>
      <c r="F216" s="1">
        <f t="shared" si="6"/>
        <v>-7.2850275519846788E-3</v>
      </c>
      <c r="G216" s="1">
        <f t="shared" si="7"/>
        <v>2.0004113480640729E-2</v>
      </c>
    </row>
    <row r="217" spans="1:7" ht="13" x14ac:dyDescent="0.3">
      <c r="A217" s="18">
        <v>45345</v>
      </c>
      <c r="B217" s="1">
        <v>759.04998799999998</v>
      </c>
      <c r="C217" s="1">
        <v>145.89999399999999</v>
      </c>
      <c r="F217" s="1">
        <f t="shared" si="6"/>
        <v>-8.9840086817421123E-3</v>
      </c>
      <c r="G217" s="1">
        <f t="shared" si="7"/>
        <v>1.380284220698221E-2</v>
      </c>
    </row>
    <row r="218" spans="1:7" ht="13" x14ac:dyDescent="0.3">
      <c r="A218" s="18">
        <v>45348</v>
      </c>
      <c r="B218" s="1">
        <v>758.90002400000003</v>
      </c>
      <c r="C218" s="1">
        <v>145.449997</v>
      </c>
      <c r="F218" s="1">
        <f t="shared" si="6"/>
        <v>-1.9758753490212906E-4</v>
      </c>
      <c r="G218" s="1">
        <f t="shared" si="7"/>
        <v>-3.0890500891156895E-3</v>
      </c>
    </row>
    <row r="219" spans="1:7" ht="13" x14ac:dyDescent="0.3">
      <c r="A219" s="18">
        <v>45349</v>
      </c>
      <c r="B219" s="1">
        <v>749.84997599999997</v>
      </c>
      <c r="C219" s="1">
        <v>142.64999399999999</v>
      </c>
      <c r="F219" s="1">
        <f t="shared" si="6"/>
        <v>-1.1996893513299422E-2</v>
      </c>
      <c r="G219" s="1">
        <f t="shared" si="7"/>
        <v>-1.9438328717046177E-2</v>
      </c>
    </row>
    <row r="220" spans="1:7" ht="13" x14ac:dyDescent="0.3">
      <c r="A220" s="18">
        <v>45350</v>
      </c>
      <c r="B220" s="1">
        <v>742.5</v>
      </c>
      <c r="C220" s="1">
        <v>144.199997</v>
      </c>
      <c r="F220" s="1">
        <f t="shared" si="6"/>
        <v>-9.8502838444325357E-3</v>
      </c>
      <c r="G220" s="1">
        <f t="shared" si="7"/>
        <v>1.0807168447890609E-2</v>
      </c>
    </row>
    <row r="221" spans="1:7" ht="13" x14ac:dyDescent="0.3">
      <c r="A221" s="18">
        <v>45351</v>
      </c>
      <c r="B221" s="1">
        <v>748.09997599999997</v>
      </c>
      <c r="C221" s="1">
        <v>140.75</v>
      </c>
      <c r="F221" s="1">
        <f t="shared" si="6"/>
        <v>7.5137561202314618E-3</v>
      </c>
      <c r="G221" s="1">
        <f t="shared" si="7"/>
        <v>-2.4215937026610453E-2</v>
      </c>
    </row>
    <row r="222" spans="1:7" ht="13" x14ac:dyDescent="0.3">
      <c r="A222" s="18">
        <v>45352</v>
      </c>
      <c r="B222" s="1">
        <v>769.15002400000003</v>
      </c>
      <c r="C222" s="1">
        <v>140.85000600000001</v>
      </c>
      <c r="F222" s="1">
        <f t="shared" si="6"/>
        <v>2.7749413407949931E-2</v>
      </c>
      <c r="G222" s="1">
        <f t="shared" si="7"/>
        <v>7.1026990109010544E-4</v>
      </c>
    </row>
    <row r="223" spans="1:7" ht="13" x14ac:dyDescent="0.3">
      <c r="A223" s="18">
        <v>45355</v>
      </c>
      <c r="B223" s="1">
        <v>772.04998799999998</v>
      </c>
      <c r="C223" s="1">
        <v>149.949997</v>
      </c>
      <c r="F223" s="1">
        <f t="shared" si="6"/>
        <v>3.7632590188023687E-3</v>
      </c>
      <c r="G223" s="1">
        <f t="shared" si="7"/>
        <v>6.2606348267459241E-2</v>
      </c>
    </row>
    <row r="224" spans="1:7" ht="13" x14ac:dyDescent="0.3">
      <c r="A224" s="18">
        <v>45356</v>
      </c>
      <c r="B224" s="1">
        <v>783.95001200000002</v>
      </c>
      <c r="C224" s="1">
        <v>153.10000600000001</v>
      </c>
      <c r="F224" s="1">
        <f t="shared" si="6"/>
        <v>1.5295958889719645E-2</v>
      </c>
      <c r="G224" s="1">
        <f t="shared" si="7"/>
        <v>2.0789456665360209E-2</v>
      </c>
    </row>
    <row r="225" spans="1:7" ht="13" x14ac:dyDescent="0.3">
      <c r="A225" s="18">
        <v>45357</v>
      </c>
      <c r="B225" s="1">
        <v>783.90002400000003</v>
      </c>
      <c r="C225" s="1">
        <v>151.85000600000001</v>
      </c>
      <c r="F225" s="1">
        <f t="shared" si="6"/>
        <v>-6.3766302731916086E-5</v>
      </c>
      <c r="G225" s="1">
        <f t="shared" si="7"/>
        <v>-8.1981108492751673E-3</v>
      </c>
    </row>
    <row r="226" spans="1:7" ht="13" x14ac:dyDescent="0.3">
      <c r="A226" s="18">
        <v>45358</v>
      </c>
      <c r="B226" s="1">
        <v>788.04998799999998</v>
      </c>
      <c r="C226" s="1">
        <v>151.60000600000001</v>
      </c>
      <c r="F226" s="1">
        <f t="shared" si="6"/>
        <v>5.2800325832635378E-3</v>
      </c>
      <c r="G226" s="1">
        <f t="shared" si="7"/>
        <v>-1.647718218327028E-3</v>
      </c>
    </row>
    <row r="227" spans="1:7" ht="13" x14ac:dyDescent="0.3">
      <c r="A227" s="18">
        <v>45362</v>
      </c>
      <c r="B227" s="1">
        <v>773.70001200000002</v>
      </c>
      <c r="C227" s="1">
        <v>157.25</v>
      </c>
      <c r="F227" s="1">
        <f t="shared" si="6"/>
        <v>-1.8377307328793491E-2</v>
      </c>
      <c r="G227" s="1">
        <f t="shared" si="7"/>
        <v>3.6591382794442968E-2</v>
      </c>
    </row>
    <row r="228" spans="1:7" ht="13" x14ac:dyDescent="0.3">
      <c r="A228" s="18">
        <v>45363</v>
      </c>
      <c r="B228" s="1">
        <v>759.70001200000002</v>
      </c>
      <c r="C228" s="1">
        <v>153.449997</v>
      </c>
      <c r="F228" s="1">
        <f t="shared" si="6"/>
        <v>-1.8260582760411599E-2</v>
      </c>
      <c r="G228" s="1">
        <f t="shared" si="7"/>
        <v>-2.4462134065147061E-2</v>
      </c>
    </row>
    <row r="229" spans="1:7" ht="13" x14ac:dyDescent="0.3">
      <c r="A229" s="18">
        <v>45364</v>
      </c>
      <c r="B229" s="1">
        <v>747.25</v>
      </c>
      <c r="C229" s="1">
        <v>152.5</v>
      </c>
      <c r="F229" s="1">
        <f t="shared" si="6"/>
        <v>-1.6523833140837427E-2</v>
      </c>
      <c r="G229" s="1">
        <f t="shared" si="7"/>
        <v>-6.2101654679364874E-3</v>
      </c>
    </row>
    <row r="230" spans="1:7" ht="13" x14ac:dyDescent="0.3">
      <c r="A230" s="18">
        <v>45365</v>
      </c>
      <c r="B230" s="1">
        <v>741.04998799999998</v>
      </c>
      <c r="C230" s="1">
        <v>143.64999399999999</v>
      </c>
      <c r="F230" s="1">
        <f t="shared" si="6"/>
        <v>-8.3317179543627596E-3</v>
      </c>
      <c r="G230" s="1">
        <f t="shared" si="7"/>
        <v>-5.9784852390355227E-2</v>
      </c>
    </row>
    <row r="231" spans="1:7" ht="13" x14ac:dyDescent="0.3">
      <c r="A231" s="18">
        <v>45366</v>
      </c>
      <c r="B231" s="1">
        <v>731.90002400000003</v>
      </c>
      <c r="C231" s="1">
        <v>142.449997</v>
      </c>
      <c r="F231" s="1">
        <f t="shared" si="6"/>
        <v>-1.242415781113859E-2</v>
      </c>
      <c r="G231" s="1">
        <f t="shared" si="7"/>
        <v>-8.3887037732151264E-3</v>
      </c>
    </row>
    <row r="232" spans="1:7" ht="13" x14ac:dyDescent="0.3">
      <c r="A232" s="18">
        <v>45369</v>
      </c>
      <c r="B232" s="1">
        <v>730.95001200000002</v>
      </c>
      <c r="C232" s="1">
        <v>141.699997</v>
      </c>
      <c r="F232" s="1">
        <f t="shared" si="6"/>
        <v>-1.2988510239294892E-3</v>
      </c>
      <c r="G232" s="1">
        <f t="shared" si="7"/>
        <v>-5.2789143587505293E-3</v>
      </c>
    </row>
    <row r="233" spans="1:7" ht="13" x14ac:dyDescent="0.3">
      <c r="A233" s="18">
        <v>45370</v>
      </c>
      <c r="B233" s="1">
        <v>723.79998799999998</v>
      </c>
      <c r="C233" s="1">
        <v>149.699997</v>
      </c>
      <c r="F233" s="1">
        <f t="shared" si="6"/>
        <v>-9.8299798241399308E-3</v>
      </c>
      <c r="G233" s="1">
        <f t="shared" si="7"/>
        <v>5.4921145860356832E-2</v>
      </c>
    </row>
    <row r="234" spans="1:7" ht="13" x14ac:dyDescent="0.3">
      <c r="A234" s="18">
        <v>45371</v>
      </c>
      <c r="B234" s="1">
        <v>736.25</v>
      </c>
      <c r="C234" s="1">
        <v>148.75</v>
      </c>
      <c r="F234" s="1">
        <f t="shared" si="6"/>
        <v>1.7054640415319986E-2</v>
      </c>
      <c r="G234" s="1">
        <f t="shared" si="7"/>
        <v>-6.3662269597631283E-3</v>
      </c>
    </row>
    <row r="235" spans="1:7" ht="13" x14ac:dyDescent="0.3">
      <c r="A235" s="18">
        <v>45372</v>
      </c>
      <c r="B235" s="1">
        <v>744.29998799999998</v>
      </c>
      <c r="C235" s="1">
        <v>145.64999399999999</v>
      </c>
      <c r="F235" s="1">
        <f t="shared" si="6"/>
        <v>1.0874428277537098E-2</v>
      </c>
      <c r="G235" s="1">
        <f t="shared" si="7"/>
        <v>-2.1060602214941184E-2</v>
      </c>
    </row>
    <row r="236" spans="1:7" ht="13" x14ac:dyDescent="0.3">
      <c r="A236" s="18">
        <v>45373</v>
      </c>
      <c r="B236" s="1">
        <v>746.70001200000002</v>
      </c>
      <c r="C236" s="1">
        <v>150.10000600000001</v>
      </c>
      <c r="F236" s="1">
        <f t="shared" si="6"/>
        <v>3.2193508690333984E-3</v>
      </c>
      <c r="G236" s="1">
        <f t="shared" si="7"/>
        <v>3.0095336401968695E-2</v>
      </c>
    </row>
    <row r="237" spans="1:7" ht="13" x14ac:dyDescent="0.3">
      <c r="A237" s="18">
        <v>45377</v>
      </c>
      <c r="B237" s="1">
        <v>740.04998799999998</v>
      </c>
      <c r="C237" s="1">
        <v>151.800003</v>
      </c>
      <c r="F237" s="1">
        <f t="shared" si="6"/>
        <v>-8.9457788442901028E-3</v>
      </c>
      <c r="G237" s="1">
        <f t="shared" si="7"/>
        <v>1.1262106111608682E-2</v>
      </c>
    </row>
    <row r="238" spans="1:7" ht="13" x14ac:dyDescent="0.3">
      <c r="A238" s="18">
        <v>45378</v>
      </c>
      <c r="B238" s="1">
        <v>733.29998799999998</v>
      </c>
      <c r="C238" s="1">
        <v>152.39999399999999</v>
      </c>
      <c r="F238" s="1">
        <f t="shared" si="6"/>
        <v>-9.1628565327035259E-3</v>
      </c>
      <c r="G238" s="1">
        <f t="shared" si="7"/>
        <v>3.9447191580910621E-3</v>
      </c>
    </row>
    <row r="239" spans="1:7" ht="13" x14ac:dyDescent="0.3">
      <c r="A239" s="18">
        <v>45379</v>
      </c>
      <c r="B239" s="1">
        <v>752.34997599999997</v>
      </c>
      <c r="C239" s="1">
        <v>152.699997</v>
      </c>
      <c r="F239" s="1">
        <f t="shared" si="6"/>
        <v>2.5646730569466501E-2</v>
      </c>
      <c r="G239" s="1">
        <f t="shared" si="7"/>
        <v>1.9665886957547151E-3</v>
      </c>
    </row>
    <row r="240" spans="1:7" ht="13" x14ac:dyDescent="0.3">
      <c r="A240" s="18">
        <v>45383</v>
      </c>
      <c r="B240" s="1">
        <v>758.29998799999998</v>
      </c>
      <c r="C240" s="1">
        <v>155.85000600000001</v>
      </c>
      <c r="F240" s="1">
        <f t="shared" si="6"/>
        <v>7.8774605771782975E-3</v>
      </c>
      <c r="G240" s="1">
        <f t="shared" si="7"/>
        <v>2.0418852133680589E-2</v>
      </c>
    </row>
    <row r="241" spans="1:7" ht="13" x14ac:dyDescent="0.3">
      <c r="A241" s="18">
        <v>45384</v>
      </c>
      <c r="B241" s="1">
        <v>766.40002400000003</v>
      </c>
      <c r="C241" s="1">
        <v>163.14999399999999</v>
      </c>
      <c r="F241" s="1">
        <f t="shared" si="6"/>
        <v>1.0625188089872202E-2</v>
      </c>
      <c r="G241" s="1">
        <f t="shared" si="7"/>
        <v>4.5775941551454223E-2</v>
      </c>
    </row>
    <row r="242" spans="1:7" ht="13" x14ac:dyDescent="0.3">
      <c r="A242" s="18">
        <v>45385</v>
      </c>
      <c r="B242" s="1">
        <v>771.04998799999998</v>
      </c>
      <c r="C242" s="1">
        <v>164.64999399999999</v>
      </c>
      <c r="F242" s="1">
        <f t="shared" si="6"/>
        <v>6.0489487685818849E-3</v>
      </c>
      <c r="G242" s="1">
        <f t="shared" si="7"/>
        <v>9.1519861180813129E-3</v>
      </c>
    </row>
    <row r="243" spans="1:7" ht="13" x14ac:dyDescent="0.3">
      <c r="A243" s="18">
        <v>45386</v>
      </c>
      <c r="B243" s="1">
        <v>759.29998799999998</v>
      </c>
      <c r="C243" s="1">
        <v>163.64999399999999</v>
      </c>
      <c r="F243" s="1">
        <f t="shared" si="6"/>
        <v>-1.5356266325314349E-2</v>
      </c>
      <c r="G243" s="1">
        <f t="shared" si="7"/>
        <v>-6.0920080978598221E-3</v>
      </c>
    </row>
    <row r="244" spans="1:7" ht="13" x14ac:dyDescent="0.3">
      <c r="A244" s="18">
        <v>45387</v>
      </c>
      <c r="B244" s="1">
        <v>764.75</v>
      </c>
      <c r="C244" s="1">
        <v>163.39999399999999</v>
      </c>
      <c r="F244" s="1">
        <f t="shared" si="6"/>
        <v>7.1520426158548549E-3</v>
      </c>
      <c r="G244" s="1">
        <f t="shared" si="7"/>
        <v>-1.5288185773818692E-3</v>
      </c>
    </row>
    <row r="245" spans="1:7" ht="13" x14ac:dyDescent="0.3">
      <c r="A245" s="18">
        <v>45390</v>
      </c>
      <c r="B245" s="1">
        <v>768.29998799999998</v>
      </c>
      <c r="C245" s="1">
        <v>163.35000600000001</v>
      </c>
      <c r="F245" s="1">
        <f t="shared" si="6"/>
        <v>4.6312832236773361E-3</v>
      </c>
      <c r="G245" s="1">
        <f t="shared" si="7"/>
        <v>-3.0597092817118393E-4</v>
      </c>
    </row>
    <row r="246" spans="1:7" ht="13" x14ac:dyDescent="0.3">
      <c r="A246" s="18">
        <v>45391</v>
      </c>
      <c r="B246" s="1">
        <v>764.20001200000002</v>
      </c>
      <c r="C246" s="1">
        <v>165.199997</v>
      </c>
      <c r="F246" s="1">
        <f t="shared" si="6"/>
        <v>-5.3507155391950877E-3</v>
      </c>
      <c r="G246" s="1">
        <f t="shared" si="7"/>
        <v>1.1261668149046873E-2</v>
      </c>
    </row>
    <row r="247" spans="1:7" ht="13" x14ac:dyDescent="0.3">
      <c r="A247" s="18">
        <v>45392</v>
      </c>
      <c r="B247" s="1">
        <v>779.04998799999998</v>
      </c>
      <c r="C247" s="1">
        <v>166</v>
      </c>
      <c r="F247" s="1">
        <f t="shared" si="6"/>
        <v>1.924566254449251E-2</v>
      </c>
      <c r="G247" s="1">
        <f t="shared" si="7"/>
        <v>4.8309454294720106E-3</v>
      </c>
    </row>
    <row r="248" spans="1:7" ht="13" x14ac:dyDescent="0.3">
      <c r="A248" s="18">
        <v>45394</v>
      </c>
      <c r="B248" s="1">
        <v>766.29998799999998</v>
      </c>
      <c r="C248" s="1">
        <v>165.050003</v>
      </c>
      <c r="F248" s="1">
        <f t="shared" si="6"/>
        <v>-1.6501490943292396E-2</v>
      </c>
      <c r="G248" s="1">
        <f t="shared" si="7"/>
        <v>-5.7393118810311989E-3</v>
      </c>
    </row>
    <row r="250" spans="1:7" ht="13" x14ac:dyDescent="0.3">
      <c r="E250" s="1" t="s">
        <v>199</v>
      </c>
      <c r="F250" s="1">
        <f>AVERAGE(F3:F248)</f>
        <v>1.4041986699211177E-3</v>
      </c>
      <c r="G250" s="1">
        <f>AVERAGE(G5:G248)</f>
        <v>1.7572033971630947E-3</v>
      </c>
    </row>
    <row r="251" spans="1:7" ht="13" x14ac:dyDescent="0.3">
      <c r="E251" s="1" t="s">
        <v>200</v>
      </c>
      <c r="F251" s="7">
        <f>(1+F250)^252-1</f>
        <v>0.42419943184917663</v>
      </c>
      <c r="G251" s="7">
        <f>(1+G250)^252-1</f>
        <v>0.55647967554133304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B444B-1DCA-4537-A866-D8CA1966BFDC}">
  <dimension ref="A1:L254"/>
  <sheetViews>
    <sheetView workbookViewId="0">
      <selection activeCell="K9" sqref="K9"/>
    </sheetView>
  </sheetViews>
  <sheetFormatPr defaultRowHeight="14.5" x14ac:dyDescent="0.35"/>
  <cols>
    <col min="1" max="1" width="12.26953125" customWidth="1"/>
    <col min="2" max="2" width="18.453125" customWidth="1"/>
    <col min="3" max="3" width="17.453125" customWidth="1"/>
    <col min="6" max="6" width="21.26953125" customWidth="1"/>
    <col min="7" max="7" width="17.81640625" customWidth="1"/>
    <col min="11" max="11" width="12" bestFit="1" customWidth="1"/>
  </cols>
  <sheetData>
    <row r="1" spans="1:12" x14ac:dyDescent="0.35">
      <c r="A1" t="s">
        <v>0</v>
      </c>
      <c r="B1" t="s">
        <v>1</v>
      </c>
      <c r="C1" t="s">
        <v>2</v>
      </c>
      <c r="F1" t="s">
        <v>5</v>
      </c>
      <c r="G1" t="s">
        <v>6</v>
      </c>
    </row>
    <row r="2" spans="1:12" x14ac:dyDescent="0.35">
      <c r="A2" s="2">
        <v>44669</v>
      </c>
      <c r="B2">
        <v>17173.650390999999</v>
      </c>
      <c r="C2">
        <v>4392.5898440000001</v>
      </c>
      <c r="F2" t="s">
        <v>7</v>
      </c>
      <c r="G2" t="s">
        <v>7</v>
      </c>
    </row>
    <row r="3" spans="1:12" x14ac:dyDescent="0.35">
      <c r="A3" s="2">
        <v>44670</v>
      </c>
      <c r="B3">
        <v>16958.650390999999</v>
      </c>
      <c r="C3">
        <v>4391.6899409999996</v>
      </c>
      <c r="F3">
        <f>LN(B3/B2)</f>
        <v>-1.2598203971354494E-2</v>
      </c>
      <c r="G3">
        <f>LN(C3/C2)</f>
        <v>-2.0488942182495337E-4</v>
      </c>
    </row>
    <row r="4" spans="1:12" x14ac:dyDescent="0.35">
      <c r="A4" s="2">
        <v>44671</v>
      </c>
      <c r="B4">
        <v>17136.550781000002</v>
      </c>
      <c r="C4">
        <v>4462.2099609999996</v>
      </c>
      <c r="F4">
        <f t="shared" ref="F4:F67" si="0">LN(B4/B3)</f>
        <v>1.0435603742163818E-2</v>
      </c>
      <c r="G4">
        <f t="shared" ref="G4:G67" si="1">LN(C4/C3)</f>
        <v>1.5930044855897333E-2</v>
      </c>
    </row>
    <row r="5" spans="1:12" x14ac:dyDescent="0.35">
      <c r="A5" s="2">
        <v>44672</v>
      </c>
      <c r="B5">
        <v>17392.599609000001</v>
      </c>
      <c r="C5">
        <v>4459.4501950000003</v>
      </c>
      <c r="F5">
        <f t="shared" si="0"/>
        <v>1.4831150985795696E-2</v>
      </c>
      <c r="G5">
        <f t="shared" si="1"/>
        <v>-6.1866649026480578E-4</v>
      </c>
    </row>
    <row r="6" spans="1:12" x14ac:dyDescent="0.35">
      <c r="A6" s="2">
        <v>44673</v>
      </c>
      <c r="B6">
        <v>17171.949218999998</v>
      </c>
      <c r="C6">
        <v>4393.6601559999999</v>
      </c>
      <c r="F6">
        <f t="shared" si="0"/>
        <v>-1.2767612762841947E-2</v>
      </c>
      <c r="G6">
        <f t="shared" si="1"/>
        <v>-1.4862855538135404E-2</v>
      </c>
      <c r="J6" t="s">
        <v>8</v>
      </c>
      <c r="K6" t="s">
        <v>9</v>
      </c>
      <c r="L6" t="s">
        <v>10</v>
      </c>
    </row>
    <row r="7" spans="1:12" x14ac:dyDescent="0.35">
      <c r="A7" s="2">
        <v>44676</v>
      </c>
      <c r="B7">
        <v>16953.949218999998</v>
      </c>
      <c r="C7">
        <v>4271.7797849999997</v>
      </c>
      <c r="F7">
        <f t="shared" si="0"/>
        <v>-1.2776394200816107E-2</v>
      </c>
      <c r="G7">
        <f t="shared" si="1"/>
        <v>-2.8132076357044129E-2</v>
      </c>
      <c r="J7">
        <v>3.9046159077065434E-2</v>
      </c>
      <c r="K7">
        <v>0.5</v>
      </c>
      <c r="L7">
        <f>K7*J7</f>
        <v>1.9523079538532717E-2</v>
      </c>
    </row>
    <row r="8" spans="1:12" x14ac:dyDescent="0.35">
      <c r="A8" s="2">
        <v>44677</v>
      </c>
      <c r="B8">
        <v>17200.800781000002</v>
      </c>
      <c r="C8">
        <v>4296.1201170000004</v>
      </c>
      <c r="F8">
        <f t="shared" si="0"/>
        <v>1.4455140811184453E-2</v>
      </c>
      <c r="G8">
        <f t="shared" si="1"/>
        <v>5.6817651370450924E-3</v>
      </c>
      <c r="J8">
        <v>-6.6065500381990994E-2</v>
      </c>
      <c r="K8">
        <v>0.5</v>
      </c>
      <c r="L8">
        <f>K8*J8</f>
        <v>-3.3032750190995497E-2</v>
      </c>
    </row>
    <row r="9" spans="1:12" x14ac:dyDescent="0.35">
      <c r="A9" s="2">
        <v>44678</v>
      </c>
      <c r="B9">
        <v>17038.400390999999</v>
      </c>
      <c r="C9">
        <v>4175.2001950000003</v>
      </c>
      <c r="F9">
        <f t="shared" si="0"/>
        <v>-9.4862965433999448E-3</v>
      </c>
      <c r="G9">
        <f t="shared" si="1"/>
        <v>-2.8550008959800515E-2</v>
      </c>
      <c r="K9">
        <f>SUM(K7:K8)</f>
        <v>1</v>
      </c>
    </row>
    <row r="10" spans="1:12" x14ac:dyDescent="0.35">
      <c r="A10" s="2">
        <v>44679</v>
      </c>
      <c r="B10">
        <v>17245.050781000002</v>
      </c>
      <c r="C10">
        <v>4183.9599609999996</v>
      </c>
      <c r="F10">
        <f t="shared" si="0"/>
        <v>1.2055547836939892E-2</v>
      </c>
      <c r="G10">
        <f t="shared" si="1"/>
        <v>2.0958491147491411E-3</v>
      </c>
    </row>
    <row r="11" spans="1:12" x14ac:dyDescent="0.35">
      <c r="A11" s="2">
        <v>44680</v>
      </c>
      <c r="B11">
        <v>17102.550781000002</v>
      </c>
      <c r="C11">
        <v>4287.5</v>
      </c>
      <c r="F11">
        <f t="shared" si="0"/>
        <v>-8.2975702004510245E-3</v>
      </c>
      <c r="G11">
        <f t="shared" si="1"/>
        <v>2.4445655325894308E-2</v>
      </c>
    </row>
    <row r="12" spans="1:12" x14ac:dyDescent="0.35">
      <c r="A12" s="2">
        <v>44683</v>
      </c>
      <c r="B12">
        <v>17069.099609000001</v>
      </c>
      <c r="C12">
        <v>4131.9301759999998</v>
      </c>
      <c r="F12">
        <f t="shared" si="0"/>
        <v>-1.9578324314679383E-3</v>
      </c>
      <c r="G12">
        <f t="shared" si="1"/>
        <v>-3.69591597317529E-2</v>
      </c>
      <c r="J12" t="s">
        <v>11</v>
      </c>
      <c r="K12">
        <f>SUM(L7:L8)</f>
        <v>-1.350967065246278E-2</v>
      </c>
    </row>
    <row r="13" spans="1:12" x14ac:dyDescent="0.35">
      <c r="A13" s="2">
        <v>44685</v>
      </c>
      <c r="B13">
        <v>16677.599609000001</v>
      </c>
      <c r="C13">
        <v>4155.3798829999996</v>
      </c>
      <c r="F13">
        <f t="shared" si="0"/>
        <v>-2.3203310190697407E-2</v>
      </c>
      <c r="G13">
        <f t="shared" si="1"/>
        <v>5.659199285999489E-3</v>
      </c>
      <c r="J13" t="s">
        <v>12</v>
      </c>
      <c r="K13">
        <v>7.0000000000000007E-2</v>
      </c>
    </row>
    <row r="14" spans="1:12" x14ac:dyDescent="0.35">
      <c r="A14" s="2">
        <v>44686</v>
      </c>
      <c r="B14">
        <v>16682.650390999999</v>
      </c>
      <c r="C14">
        <v>4175.4799800000001</v>
      </c>
      <c r="F14">
        <f t="shared" si="0"/>
        <v>3.028024093699254E-4</v>
      </c>
      <c r="G14">
        <f t="shared" si="1"/>
        <v>4.8254649179748695E-3</v>
      </c>
    </row>
    <row r="15" spans="1:12" x14ac:dyDescent="0.35">
      <c r="A15" s="2">
        <v>44687</v>
      </c>
      <c r="B15">
        <v>16411.25</v>
      </c>
      <c r="C15">
        <v>4300.169922</v>
      </c>
      <c r="F15">
        <f t="shared" si="0"/>
        <v>-1.6402205384656473E-2</v>
      </c>
      <c r="G15">
        <f t="shared" si="1"/>
        <v>2.942522169865713E-2</v>
      </c>
      <c r="J15" t="s">
        <v>13</v>
      </c>
      <c r="K15">
        <f t="array" ref="K15">SQRT(MMULT(TRANSPOSE(K7:K8),MMULT(K20:L21,K7:K8)))</f>
        <v>9.3831466977386709E-3</v>
      </c>
    </row>
    <row r="16" spans="1:12" x14ac:dyDescent="0.35">
      <c r="A16" s="2">
        <v>44690</v>
      </c>
      <c r="B16">
        <v>16301.849609000001</v>
      </c>
      <c r="C16">
        <v>4146.8701170000004</v>
      </c>
      <c r="F16">
        <f t="shared" si="0"/>
        <v>-6.688500946248681E-3</v>
      </c>
      <c r="G16">
        <f t="shared" si="1"/>
        <v>-3.6300677638382385E-2</v>
      </c>
      <c r="J16" t="s">
        <v>14</v>
      </c>
      <c r="K16">
        <f>SQRT(252)*K15</f>
        <v>0.14895283606472084</v>
      </c>
    </row>
    <row r="17" spans="1:12" x14ac:dyDescent="0.35">
      <c r="A17" s="2">
        <v>44691</v>
      </c>
      <c r="B17">
        <v>16240.049805000001</v>
      </c>
      <c r="C17">
        <v>4123.3398440000001</v>
      </c>
      <c r="F17">
        <f t="shared" si="0"/>
        <v>-3.7981727807602679E-3</v>
      </c>
      <c r="G17">
        <f t="shared" si="1"/>
        <v>-5.6903843081075904E-3</v>
      </c>
    </row>
    <row r="18" spans="1:12" ht="15" thickBot="1" x14ac:dyDescent="0.4">
      <c r="A18" s="2">
        <v>44692</v>
      </c>
      <c r="B18">
        <v>16167.099609000001</v>
      </c>
      <c r="C18">
        <v>3991.23999</v>
      </c>
      <c r="F18">
        <f t="shared" si="0"/>
        <v>-4.5021126842780639E-3</v>
      </c>
      <c r="G18">
        <f t="shared" si="1"/>
        <v>-3.2561519658957053E-2</v>
      </c>
    </row>
    <row r="19" spans="1:12" x14ac:dyDescent="0.35">
      <c r="A19" s="2">
        <v>44693</v>
      </c>
      <c r="B19">
        <v>15808</v>
      </c>
      <c r="C19">
        <v>4001.0500489999999</v>
      </c>
      <c r="F19">
        <f t="shared" si="0"/>
        <v>-2.2462147849384096E-2</v>
      </c>
      <c r="G19">
        <f t="shared" si="1"/>
        <v>2.4548818620889127E-3</v>
      </c>
      <c r="J19" s="4"/>
      <c r="K19" s="4" t="s">
        <v>15</v>
      </c>
      <c r="L19" s="4" t="s">
        <v>16</v>
      </c>
    </row>
    <row r="20" spans="1:12" x14ac:dyDescent="0.35">
      <c r="A20" s="2">
        <v>44694</v>
      </c>
      <c r="B20">
        <v>15782.150390999999</v>
      </c>
      <c r="C20">
        <v>3935.179932</v>
      </c>
      <c r="F20">
        <f t="shared" si="0"/>
        <v>-1.6365616782157996E-3</v>
      </c>
      <c r="G20">
        <f t="shared" si="1"/>
        <v>-1.6600232047331586E-2</v>
      </c>
      <c r="J20" t="s">
        <v>15</v>
      </c>
      <c r="K20">
        <f>VARP('EQUAL WEIGHTS INDICES'!$F$3:$F$248)</f>
        <v>8.2458804648529016E-5</v>
      </c>
      <c r="L20">
        <v>2.7043660870874482E-5</v>
      </c>
    </row>
    <row r="21" spans="1:12" ht="15" thickBot="1" x14ac:dyDescent="0.4">
      <c r="A21" s="2">
        <v>44697</v>
      </c>
      <c r="B21">
        <v>15842.299805000001</v>
      </c>
      <c r="C21">
        <v>3930.080078</v>
      </c>
      <c r="F21">
        <f t="shared" si="0"/>
        <v>3.8039862295736991E-3</v>
      </c>
      <c r="G21">
        <f t="shared" si="1"/>
        <v>-1.2968051172419798E-3</v>
      </c>
      <c r="J21" s="3" t="s">
        <v>16</v>
      </c>
      <c r="K21" s="3">
        <v>2.7043660870874482E-5</v>
      </c>
      <c r="L21" s="3">
        <f>VARP('EQUAL WEIGHTS INDICES'!$G$3:$G$248)</f>
        <v>2.1562764141485851E-4</v>
      </c>
    </row>
    <row r="22" spans="1:12" x14ac:dyDescent="0.35">
      <c r="A22" s="2">
        <v>44698</v>
      </c>
      <c r="B22">
        <v>16259.299805000001</v>
      </c>
      <c r="C22">
        <v>4023.889893</v>
      </c>
      <c r="F22">
        <f t="shared" si="0"/>
        <v>2.5981475212457642E-2</v>
      </c>
      <c r="G22">
        <f t="shared" si="1"/>
        <v>2.3589268093517989E-2</v>
      </c>
    </row>
    <row r="23" spans="1:12" x14ac:dyDescent="0.35">
      <c r="A23" s="2">
        <v>44699</v>
      </c>
      <c r="B23">
        <v>16240.299805000001</v>
      </c>
      <c r="C23">
        <v>4008.01001</v>
      </c>
      <c r="F23">
        <f t="shared" si="0"/>
        <v>-1.169245307181149E-3</v>
      </c>
      <c r="G23">
        <f t="shared" si="1"/>
        <v>-3.9542085640883826E-3</v>
      </c>
    </row>
    <row r="24" spans="1:12" x14ac:dyDescent="0.35">
      <c r="A24" s="2">
        <v>44700</v>
      </c>
      <c r="B24">
        <v>15809.400390999999</v>
      </c>
      <c r="C24">
        <v>4088.8500979999999</v>
      </c>
      <c r="F24">
        <f t="shared" si="0"/>
        <v>-2.6891070892926007E-2</v>
      </c>
      <c r="G24">
        <f t="shared" si="1"/>
        <v>1.996891960705599E-2</v>
      </c>
      <c r="J24" t="s">
        <v>17</v>
      </c>
      <c r="K24">
        <f>(K12-K13)/K16</f>
        <v>-0.56064505288222488</v>
      </c>
    </row>
    <row r="25" spans="1:12" x14ac:dyDescent="0.35">
      <c r="A25" s="2">
        <v>44701</v>
      </c>
      <c r="B25">
        <v>16266.150390999999</v>
      </c>
      <c r="C25">
        <v>3923.679932</v>
      </c>
      <c r="F25">
        <f t="shared" si="0"/>
        <v>2.8481560859905521E-2</v>
      </c>
      <c r="G25">
        <f t="shared" si="1"/>
        <v>-4.12338092837276E-2</v>
      </c>
    </row>
    <row r="26" spans="1:12" x14ac:dyDescent="0.35">
      <c r="A26" s="2">
        <v>44704</v>
      </c>
      <c r="B26">
        <v>16214.700194999999</v>
      </c>
      <c r="C26">
        <v>3900.790039</v>
      </c>
      <c r="F26">
        <f t="shared" si="0"/>
        <v>-3.1680352024770894E-3</v>
      </c>
      <c r="G26">
        <f t="shared" si="1"/>
        <v>-5.8508648849615805E-3</v>
      </c>
    </row>
    <row r="27" spans="1:12" x14ac:dyDescent="0.35">
      <c r="A27" s="2">
        <v>44705</v>
      </c>
      <c r="B27">
        <v>16125.150390999999</v>
      </c>
      <c r="C27">
        <v>3901.360107</v>
      </c>
      <c r="F27">
        <f t="shared" si="0"/>
        <v>-5.5380610146614911E-3</v>
      </c>
      <c r="G27">
        <f t="shared" si="1"/>
        <v>1.4613099987746166E-4</v>
      </c>
    </row>
    <row r="28" spans="1:12" x14ac:dyDescent="0.35">
      <c r="A28" s="2">
        <v>44706</v>
      </c>
      <c r="B28">
        <v>16025.799805000001</v>
      </c>
      <c r="C28">
        <v>3973.75</v>
      </c>
      <c r="F28">
        <f t="shared" si="0"/>
        <v>-6.1802778223144514E-3</v>
      </c>
      <c r="G28">
        <f t="shared" si="1"/>
        <v>1.8384995520196196E-2</v>
      </c>
    </row>
    <row r="29" spans="1:12" x14ac:dyDescent="0.35">
      <c r="A29" s="2">
        <v>44707</v>
      </c>
      <c r="B29">
        <v>16170.150390999999</v>
      </c>
      <c r="C29">
        <v>3941.4799800000001</v>
      </c>
      <c r="F29">
        <f t="shared" si="0"/>
        <v>8.9670627745213703E-3</v>
      </c>
      <c r="G29">
        <f t="shared" si="1"/>
        <v>-8.1539510224855061E-3</v>
      </c>
    </row>
    <row r="30" spans="1:12" x14ac:dyDescent="0.35">
      <c r="A30" s="2">
        <v>44708</v>
      </c>
      <c r="B30">
        <v>16352.450194999999</v>
      </c>
      <c r="C30">
        <v>3978.7299800000001</v>
      </c>
      <c r="F30">
        <f t="shared" si="0"/>
        <v>1.1210770972733472E-2</v>
      </c>
      <c r="G30">
        <f t="shared" si="1"/>
        <v>9.4063856500450523E-3</v>
      </c>
    </row>
    <row r="31" spans="1:12" x14ac:dyDescent="0.35">
      <c r="A31" s="2">
        <v>44711</v>
      </c>
      <c r="B31">
        <v>16661.400390999999</v>
      </c>
      <c r="C31">
        <v>4057.8400879999999</v>
      </c>
      <c r="F31">
        <f t="shared" si="0"/>
        <v>1.8716945152003409E-2</v>
      </c>
      <c r="G31">
        <f t="shared" si="1"/>
        <v>1.9688166152488747E-2</v>
      </c>
    </row>
    <row r="32" spans="1:12" x14ac:dyDescent="0.35">
      <c r="A32" s="2">
        <v>44712</v>
      </c>
      <c r="B32">
        <v>16584.550781000002</v>
      </c>
      <c r="C32">
        <v>4158.2402339999999</v>
      </c>
      <c r="F32">
        <f t="shared" si="0"/>
        <v>-4.6231041174613447E-3</v>
      </c>
      <c r="G32">
        <f t="shared" si="1"/>
        <v>2.4441130078685584E-2</v>
      </c>
    </row>
    <row r="33" spans="1:7" x14ac:dyDescent="0.35">
      <c r="A33" s="2">
        <v>44713</v>
      </c>
      <c r="B33">
        <v>16522.75</v>
      </c>
      <c r="C33">
        <v>4132.1499020000001</v>
      </c>
      <c r="F33">
        <f t="shared" si="0"/>
        <v>-3.733367041339183E-3</v>
      </c>
      <c r="G33">
        <f t="shared" si="1"/>
        <v>-6.2941351866737365E-3</v>
      </c>
    </row>
    <row r="34" spans="1:7" x14ac:dyDescent="0.35">
      <c r="A34" s="2">
        <v>44714</v>
      </c>
      <c r="B34">
        <v>16628</v>
      </c>
      <c r="C34">
        <v>4101.2299800000001</v>
      </c>
      <c r="F34">
        <f t="shared" si="0"/>
        <v>6.3498022602603054E-3</v>
      </c>
      <c r="G34">
        <f t="shared" si="1"/>
        <v>-7.5109050722612898E-3</v>
      </c>
    </row>
    <row r="35" spans="1:7" x14ac:dyDescent="0.35">
      <c r="A35" s="2">
        <v>44715</v>
      </c>
      <c r="B35">
        <v>16584.300781000002</v>
      </c>
      <c r="C35">
        <v>4176.8198240000002</v>
      </c>
      <c r="F35">
        <f t="shared" si="0"/>
        <v>-2.6315096027621498E-3</v>
      </c>
      <c r="G35">
        <f t="shared" si="1"/>
        <v>1.8263225477467809E-2</v>
      </c>
    </row>
    <row r="36" spans="1:7" x14ac:dyDescent="0.35">
      <c r="A36" s="2">
        <v>44718</v>
      </c>
      <c r="B36">
        <v>16569.550781000002</v>
      </c>
      <c r="C36">
        <v>4108.5400390000004</v>
      </c>
      <c r="F36">
        <f t="shared" si="0"/>
        <v>-8.897910968553366E-4</v>
      </c>
      <c r="G36">
        <f t="shared" si="1"/>
        <v>-1.6482405572656827E-2</v>
      </c>
    </row>
    <row r="37" spans="1:7" x14ac:dyDescent="0.35">
      <c r="A37" s="2">
        <v>44719</v>
      </c>
      <c r="B37">
        <v>16416.349609000001</v>
      </c>
      <c r="C37">
        <v>4121.4301759999998</v>
      </c>
      <c r="F37">
        <f t="shared" si="0"/>
        <v>-9.2889550846470235E-3</v>
      </c>
      <c r="G37">
        <f t="shared" si="1"/>
        <v>3.1324894753243142E-3</v>
      </c>
    </row>
    <row r="38" spans="1:7" x14ac:dyDescent="0.35">
      <c r="A38" s="2">
        <v>44720</v>
      </c>
      <c r="B38">
        <v>16356.25</v>
      </c>
      <c r="C38">
        <v>4160.6801759999998</v>
      </c>
      <c r="F38">
        <f t="shared" si="0"/>
        <v>-3.6676783098074247E-3</v>
      </c>
      <c r="G38">
        <f t="shared" si="1"/>
        <v>9.4783315312192331E-3</v>
      </c>
    </row>
    <row r="39" spans="1:7" x14ac:dyDescent="0.35">
      <c r="A39" s="2">
        <v>44721</v>
      </c>
      <c r="B39">
        <v>16478.099609000001</v>
      </c>
      <c r="C39">
        <v>4115.7700199999999</v>
      </c>
      <c r="F39">
        <f t="shared" si="0"/>
        <v>7.4221155478582492E-3</v>
      </c>
      <c r="G39">
        <f t="shared" si="1"/>
        <v>-1.0852622978839667E-2</v>
      </c>
    </row>
    <row r="40" spans="1:7" x14ac:dyDescent="0.35">
      <c r="A40" s="2">
        <v>44722</v>
      </c>
      <c r="B40">
        <v>16201.799805000001</v>
      </c>
      <c r="C40">
        <v>4017.820068</v>
      </c>
      <c r="F40">
        <f t="shared" si="0"/>
        <v>-1.6909867702809767E-2</v>
      </c>
      <c r="G40">
        <f t="shared" si="1"/>
        <v>-2.4086457868492003E-2</v>
      </c>
    </row>
    <row r="41" spans="1:7" x14ac:dyDescent="0.35">
      <c r="A41" s="2">
        <v>44725</v>
      </c>
      <c r="B41">
        <v>15774.400390999999</v>
      </c>
      <c r="C41">
        <v>3900.860107</v>
      </c>
      <c r="F41">
        <f t="shared" si="0"/>
        <v>-2.6733937515731256E-2</v>
      </c>
      <c r="G41">
        <f t="shared" si="1"/>
        <v>-2.9542414830113429E-2</v>
      </c>
    </row>
    <row r="42" spans="1:7" x14ac:dyDescent="0.35">
      <c r="A42" s="2">
        <v>44726</v>
      </c>
      <c r="B42">
        <v>15732.099609000001</v>
      </c>
      <c r="C42">
        <v>3749.6298830000001</v>
      </c>
      <c r="F42">
        <f t="shared" si="0"/>
        <v>-2.6852114590314034E-3</v>
      </c>
      <c r="G42">
        <f t="shared" si="1"/>
        <v>-3.95399318318857E-2</v>
      </c>
    </row>
    <row r="43" spans="1:7" x14ac:dyDescent="0.35">
      <c r="A43" s="2">
        <v>44727</v>
      </c>
      <c r="B43">
        <v>15692.150390999999</v>
      </c>
      <c r="C43">
        <v>3735.4799800000001</v>
      </c>
      <c r="F43">
        <f t="shared" si="0"/>
        <v>-2.5425739371080034E-3</v>
      </c>
      <c r="G43">
        <f t="shared" si="1"/>
        <v>-3.7808182149804753E-3</v>
      </c>
    </row>
    <row r="44" spans="1:7" x14ac:dyDescent="0.35">
      <c r="A44" s="2">
        <v>44728</v>
      </c>
      <c r="B44">
        <v>15360.599609000001</v>
      </c>
      <c r="C44">
        <v>3789.98999</v>
      </c>
      <c r="F44">
        <f t="shared" si="0"/>
        <v>-2.1354848227625321E-2</v>
      </c>
      <c r="G44">
        <f t="shared" si="1"/>
        <v>1.4487058900179855E-2</v>
      </c>
    </row>
    <row r="45" spans="1:7" x14ac:dyDescent="0.35">
      <c r="A45" s="2">
        <v>44729</v>
      </c>
      <c r="B45">
        <v>15293.5</v>
      </c>
      <c r="C45">
        <v>3666.7700199999999</v>
      </c>
      <c r="F45">
        <f t="shared" si="0"/>
        <v>-4.3778624734249188E-3</v>
      </c>
      <c r="G45">
        <f t="shared" si="1"/>
        <v>-3.3052206924162886E-2</v>
      </c>
    </row>
    <row r="46" spans="1:7" x14ac:dyDescent="0.35">
      <c r="A46" s="2">
        <v>44732</v>
      </c>
      <c r="B46">
        <v>15350.150390999999</v>
      </c>
      <c r="C46">
        <v>3674.8400879999999</v>
      </c>
      <c r="F46">
        <f t="shared" si="0"/>
        <v>3.6973699160483147E-3</v>
      </c>
      <c r="G46">
        <f t="shared" si="1"/>
        <v>2.1984472429394143E-3</v>
      </c>
    </row>
    <row r="47" spans="1:7" x14ac:dyDescent="0.35">
      <c r="A47" s="2">
        <v>44733</v>
      </c>
      <c r="B47">
        <v>15638.799805000001</v>
      </c>
      <c r="C47">
        <v>3764.790039</v>
      </c>
      <c r="F47">
        <f t="shared" si="0"/>
        <v>1.8629721917355551E-2</v>
      </c>
      <c r="G47">
        <f t="shared" si="1"/>
        <v>2.4182474914307743E-2</v>
      </c>
    </row>
    <row r="48" spans="1:7" x14ac:dyDescent="0.35">
      <c r="A48" s="2">
        <v>44734</v>
      </c>
      <c r="B48">
        <v>15413.299805000001</v>
      </c>
      <c r="C48">
        <v>3759.889893</v>
      </c>
      <c r="F48">
        <f t="shared" si="0"/>
        <v>-1.4524232949345612E-2</v>
      </c>
      <c r="G48">
        <f t="shared" si="1"/>
        <v>-1.3024199665521402E-3</v>
      </c>
    </row>
    <row r="49" spans="1:7" x14ac:dyDescent="0.35">
      <c r="A49" s="2">
        <v>44735</v>
      </c>
      <c r="B49">
        <v>15556.650390999999</v>
      </c>
      <c r="C49">
        <v>3795.7299800000001</v>
      </c>
      <c r="F49">
        <f t="shared" si="0"/>
        <v>9.2574646624352681E-3</v>
      </c>
      <c r="G49">
        <f t="shared" si="1"/>
        <v>9.4870722498584699E-3</v>
      </c>
    </row>
    <row r="50" spans="1:7" x14ac:dyDescent="0.35">
      <c r="A50" s="2">
        <v>44736</v>
      </c>
      <c r="B50">
        <v>15699.25</v>
      </c>
      <c r="C50">
        <v>3911.73999</v>
      </c>
      <c r="F50">
        <f t="shared" si="0"/>
        <v>9.1247154376292543E-3</v>
      </c>
      <c r="G50">
        <f t="shared" si="1"/>
        <v>3.0105539793479238E-2</v>
      </c>
    </row>
    <row r="51" spans="1:7" x14ac:dyDescent="0.35">
      <c r="A51" s="2">
        <v>44739</v>
      </c>
      <c r="B51">
        <v>15832.049805000001</v>
      </c>
      <c r="C51">
        <v>3900.110107</v>
      </c>
      <c r="F51">
        <f t="shared" si="0"/>
        <v>8.4234136266077789E-3</v>
      </c>
      <c r="G51">
        <f t="shared" si="1"/>
        <v>-2.9774999385948726E-3</v>
      </c>
    </row>
    <row r="52" spans="1:7" x14ac:dyDescent="0.35">
      <c r="A52" s="2">
        <v>44740</v>
      </c>
      <c r="B52">
        <v>15850.200194999999</v>
      </c>
      <c r="C52">
        <v>3821.5500489999999</v>
      </c>
      <c r="F52">
        <f t="shared" si="0"/>
        <v>1.1457767037162702E-3</v>
      </c>
      <c r="G52">
        <f t="shared" si="1"/>
        <v>-2.0348672996349685E-2</v>
      </c>
    </row>
    <row r="53" spans="1:7" x14ac:dyDescent="0.35">
      <c r="A53" s="2">
        <v>44741</v>
      </c>
      <c r="B53">
        <v>15799.099609000001</v>
      </c>
      <c r="C53">
        <v>3818.830078</v>
      </c>
      <c r="F53">
        <f t="shared" si="0"/>
        <v>-3.2291792059318883E-3</v>
      </c>
      <c r="G53">
        <f t="shared" si="1"/>
        <v>-7.1199889788044397E-4</v>
      </c>
    </row>
    <row r="54" spans="1:7" x14ac:dyDescent="0.35">
      <c r="A54" s="2">
        <v>44742</v>
      </c>
      <c r="B54">
        <v>15780.25</v>
      </c>
      <c r="C54">
        <v>3785.3798830000001</v>
      </c>
      <c r="F54">
        <f t="shared" si="0"/>
        <v>-1.1937935056930064E-3</v>
      </c>
      <c r="G54">
        <f t="shared" si="1"/>
        <v>-8.7978661641024084E-3</v>
      </c>
    </row>
    <row r="55" spans="1:7" x14ac:dyDescent="0.35">
      <c r="A55" s="2">
        <v>44743</v>
      </c>
      <c r="B55">
        <v>15752.049805000001</v>
      </c>
      <c r="C55">
        <v>3825.330078</v>
      </c>
      <c r="F55">
        <f t="shared" si="0"/>
        <v>-1.7886549787214543E-3</v>
      </c>
      <c r="G55">
        <f t="shared" si="1"/>
        <v>1.0498511214429478E-2</v>
      </c>
    </row>
    <row r="56" spans="1:7" x14ac:dyDescent="0.35">
      <c r="A56" s="2">
        <v>44746</v>
      </c>
      <c r="B56">
        <v>15835.349609000001</v>
      </c>
      <c r="C56">
        <v>3831.389893</v>
      </c>
      <c r="F56">
        <f t="shared" si="0"/>
        <v>5.2742548387306222E-3</v>
      </c>
      <c r="G56">
        <f t="shared" si="1"/>
        <v>1.5828752489806775E-3</v>
      </c>
    </row>
    <row r="57" spans="1:7" x14ac:dyDescent="0.35">
      <c r="A57" s="2">
        <v>44747</v>
      </c>
      <c r="B57">
        <v>15810.849609000001</v>
      </c>
      <c r="C57">
        <v>3845.080078</v>
      </c>
      <c r="F57">
        <f t="shared" si="0"/>
        <v>-1.5483695040922412E-3</v>
      </c>
      <c r="G57">
        <f t="shared" si="1"/>
        <v>3.5667955624467166E-3</v>
      </c>
    </row>
    <row r="58" spans="1:7" x14ac:dyDescent="0.35">
      <c r="A58" s="2">
        <v>44748</v>
      </c>
      <c r="B58">
        <v>15989.799805000001</v>
      </c>
      <c r="C58">
        <v>3902.6201169999999</v>
      </c>
      <c r="F58">
        <f t="shared" si="0"/>
        <v>1.1254618267793701E-2</v>
      </c>
      <c r="G58">
        <f t="shared" si="1"/>
        <v>1.4853723165394822E-2</v>
      </c>
    </row>
    <row r="59" spans="1:7" x14ac:dyDescent="0.35">
      <c r="A59" s="2">
        <v>44749</v>
      </c>
      <c r="B59">
        <v>16132.900390999999</v>
      </c>
      <c r="C59">
        <v>3899.3798830000001</v>
      </c>
      <c r="F59">
        <f t="shared" si="0"/>
        <v>8.9096826708300117E-3</v>
      </c>
      <c r="G59">
        <f t="shared" si="1"/>
        <v>-8.3061629999814596E-4</v>
      </c>
    </row>
    <row r="60" spans="1:7" x14ac:dyDescent="0.35">
      <c r="A60" s="2">
        <v>44750</v>
      </c>
      <c r="B60">
        <v>16220.599609000001</v>
      </c>
      <c r="C60">
        <v>3854.429932</v>
      </c>
      <c r="F60">
        <f t="shared" si="0"/>
        <v>5.421325840824249E-3</v>
      </c>
      <c r="G60">
        <f t="shared" si="1"/>
        <v>-1.1594417615373311E-2</v>
      </c>
    </row>
    <row r="61" spans="1:7" x14ac:dyDescent="0.35">
      <c r="A61" s="2">
        <v>44753</v>
      </c>
      <c r="B61">
        <v>16216</v>
      </c>
      <c r="C61">
        <v>3818.8000489999999</v>
      </c>
      <c r="F61">
        <f t="shared" si="0"/>
        <v>-2.8360611693425074E-4</v>
      </c>
      <c r="G61">
        <f t="shared" si="1"/>
        <v>-9.2868685457229792E-3</v>
      </c>
    </row>
    <row r="62" spans="1:7" x14ac:dyDescent="0.35">
      <c r="A62" s="2">
        <v>44754</v>
      </c>
      <c r="B62">
        <v>16058.299805000001</v>
      </c>
      <c r="C62">
        <v>3801.780029</v>
      </c>
      <c r="F62">
        <f t="shared" si="0"/>
        <v>-9.7725714282244844E-3</v>
      </c>
      <c r="G62">
        <f t="shared" si="1"/>
        <v>-4.466864234912612E-3</v>
      </c>
    </row>
    <row r="63" spans="1:7" x14ac:dyDescent="0.35">
      <c r="A63" s="2">
        <v>44755</v>
      </c>
      <c r="B63">
        <v>15966.650390999999</v>
      </c>
      <c r="C63">
        <v>3790.3798830000001</v>
      </c>
      <c r="F63">
        <f t="shared" si="0"/>
        <v>-5.7236413260525441E-3</v>
      </c>
      <c r="G63">
        <f t="shared" si="1"/>
        <v>-3.0031386852085425E-3</v>
      </c>
    </row>
    <row r="64" spans="1:7" x14ac:dyDescent="0.35">
      <c r="A64" s="2">
        <v>44756</v>
      </c>
      <c r="B64">
        <v>15938.650390999999</v>
      </c>
      <c r="C64">
        <v>3863.1599120000001</v>
      </c>
      <c r="F64">
        <f t="shared" si="0"/>
        <v>-1.7551946856501925E-3</v>
      </c>
      <c r="G64">
        <f t="shared" si="1"/>
        <v>1.9019231580853856E-2</v>
      </c>
    </row>
    <row r="65" spans="1:7" x14ac:dyDescent="0.35">
      <c r="A65" s="2">
        <v>44757</v>
      </c>
      <c r="B65">
        <v>16049.200194999999</v>
      </c>
      <c r="C65">
        <v>3830.8500979999999</v>
      </c>
      <c r="F65">
        <f t="shared" si="0"/>
        <v>6.9120145373660624E-3</v>
      </c>
      <c r="G65">
        <f t="shared" si="1"/>
        <v>-8.3987423677916329E-3</v>
      </c>
    </row>
    <row r="66" spans="1:7" x14ac:dyDescent="0.35">
      <c r="A66" s="2">
        <v>44760</v>
      </c>
      <c r="B66">
        <v>16278.5</v>
      </c>
      <c r="C66">
        <v>3936.6899410000001</v>
      </c>
      <c r="F66">
        <f t="shared" si="0"/>
        <v>1.4186202490190198E-2</v>
      </c>
      <c r="G66">
        <f t="shared" si="1"/>
        <v>2.7253517450803007E-2</v>
      </c>
    </row>
    <row r="67" spans="1:7" x14ac:dyDescent="0.35">
      <c r="A67" s="2">
        <v>44761</v>
      </c>
      <c r="B67">
        <v>16340.549805000001</v>
      </c>
      <c r="C67">
        <v>3959.8999020000001</v>
      </c>
      <c r="F67">
        <f t="shared" si="0"/>
        <v>3.8045179252721916E-3</v>
      </c>
      <c r="G67">
        <f t="shared" si="1"/>
        <v>5.8784939574451373E-3</v>
      </c>
    </row>
    <row r="68" spans="1:7" x14ac:dyDescent="0.35">
      <c r="A68" s="2">
        <v>44762</v>
      </c>
      <c r="B68">
        <v>16520.849609000001</v>
      </c>
      <c r="C68">
        <v>3998.9499510000001</v>
      </c>
      <c r="F68">
        <f t="shared" ref="F68:F131" si="2">LN(B68/B67)</f>
        <v>1.0973459224023095E-2</v>
      </c>
      <c r="G68">
        <f t="shared" ref="G68:G131" si="3">LN(C68/C67)</f>
        <v>9.813066733332397E-3</v>
      </c>
    </row>
    <row r="69" spans="1:7" x14ac:dyDescent="0.35">
      <c r="A69" s="2">
        <v>44763</v>
      </c>
      <c r="B69">
        <v>16605.25</v>
      </c>
      <c r="C69">
        <v>3961.6298830000001</v>
      </c>
      <c r="F69">
        <f t="shared" si="2"/>
        <v>5.0957145348633059E-3</v>
      </c>
      <c r="G69">
        <f t="shared" si="3"/>
        <v>-9.3762872035048316E-3</v>
      </c>
    </row>
    <row r="70" spans="1:7" x14ac:dyDescent="0.35">
      <c r="A70" s="2">
        <v>44764</v>
      </c>
      <c r="B70">
        <v>16719.449218999998</v>
      </c>
      <c r="C70">
        <v>3966.8400879999999</v>
      </c>
      <c r="F70">
        <f t="shared" si="2"/>
        <v>6.8537552451191199E-3</v>
      </c>
      <c r="G70">
        <f t="shared" si="3"/>
        <v>1.3143029535492314E-3</v>
      </c>
    </row>
    <row r="71" spans="1:7" x14ac:dyDescent="0.35">
      <c r="A71" s="2">
        <v>44767</v>
      </c>
      <c r="B71">
        <v>16631</v>
      </c>
      <c r="C71">
        <v>3921.0500489999999</v>
      </c>
      <c r="F71">
        <f t="shared" si="2"/>
        <v>-5.3042419786028111E-3</v>
      </c>
      <c r="G71">
        <f t="shared" si="3"/>
        <v>-1.1610342583001728E-2</v>
      </c>
    </row>
    <row r="72" spans="1:7" x14ac:dyDescent="0.35">
      <c r="A72" s="2">
        <v>44768</v>
      </c>
      <c r="B72">
        <v>16483.849609000001</v>
      </c>
      <c r="C72">
        <v>4023.610107</v>
      </c>
      <c r="F72">
        <f t="shared" si="2"/>
        <v>-8.8873337060962447E-3</v>
      </c>
      <c r="G72">
        <f t="shared" si="3"/>
        <v>2.5820048629945237E-2</v>
      </c>
    </row>
    <row r="73" spans="1:7" x14ac:dyDescent="0.35">
      <c r="A73" s="2">
        <v>44769</v>
      </c>
      <c r="B73">
        <v>16641.800781000002</v>
      </c>
      <c r="C73">
        <v>4072.429932</v>
      </c>
      <c r="F73">
        <f t="shared" si="2"/>
        <v>9.5365595678121515E-3</v>
      </c>
      <c r="G73">
        <f t="shared" si="3"/>
        <v>1.2060319985008465E-2</v>
      </c>
    </row>
    <row r="74" spans="1:7" x14ac:dyDescent="0.35">
      <c r="A74" s="2">
        <v>44770</v>
      </c>
      <c r="B74">
        <v>16929.599609000001</v>
      </c>
      <c r="C74">
        <v>4130.2900390000004</v>
      </c>
      <c r="F74">
        <f t="shared" si="2"/>
        <v>1.7145896522397983E-2</v>
      </c>
      <c r="G74">
        <f t="shared" si="3"/>
        <v>1.4107775678375747E-2</v>
      </c>
    </row>
    <row r="75" spans="1:7" x14ac:dyDescent="0.35">
      <c r="A75" s="2">
        <v>44771</v>
      </c>
      <c r="B75">
        <v>17158.25</v>
      </c>
      <c r="C75">
        <v>4118.6298829999996</v>
      </c>
      <c r="F75">
        <f t="shared" si="2"/>
        <v>1.3415561435266298E-2</v>
      </c>
      <c r="G75">
        <f t="shared" si="3"/>
        <v>-2.8270764842599837E-3</v>
      </c>
    </row>
    <row r="76" spans="1:7" x14ac:dyDescent="0.35">
      <c r="A76" s="2">
        <v>44774</v>
      </c>
      <c r="B76">
        <v>17340.050781000002</v>
      </c>
      <c r="C76">
        <v>4091.1899410000001</v>
      </c>
      <c r="F76">
        <f t="shared" si="2"/>
        <v>1.0539792387437338E-2</v>
      </c>
      <c r="G76">
        <f t="shared" si="3"/>
        <v>-6.6846885236944431E-3</v>
      </c>
    </row>
    <row r="77" spans="1:7" x14ac:dyDescent="0.35">
      <c r="A77" s="2">
        <v>44775</v>
      </c>
      <c r="B77">
        <v>17345.449218999998</v>
      </c>
      <c r="C77">
        <v>4155.169922</v>
      </c>
      <c r="F77">
        <f t="shared" si="2"/>
        <v>3.1127924023498926E-4</v>
      </c>
      <c r="G77">
        <f t="shared" si="3"/>
        <v>1.5517456399472265E-2</v>
      </c>
    </row>
    <row r="78" spans="1:7" x14ac:dyDescent="0.35">
      <c r="A78" s="2">
        <v>44776</v>
      </c>
      <c r="B78">
        <v>17388.150390999999</v>
      </c>
      <c r="C78">
        <v>4151.9399409999996</v>
      </c>
      <c r="F78">
        <f t="shared" si="2"/>
        <v>2.4587830799204626E-3</v>
      </c>
      <c r="G78">
        <f t="shared" si="3"/>
        <v>-7.776425775126313E-4</v>
      </c>
    </row>
    <row r="79" spans="1:7" x14ac:dyDescent="0.35">
      <c r="A79" s="2">
        <v>44777</v>
      </c>
      <c r="B79">
        <v>17382</v>
      </c>
      <c r="C79">
        <v>4145.1899409999996</v>
      </c>
      <c r="F79">
        <f t="shared" si="2"/>
        <v>-3.537741997076726E-4</v>
      </c>
      <c r="G79">
        <f t="shared" si="3"/>
        <v>-1.6270690190784735E-3</v>
      </c>
    </row>
    <row r="80" spans="1:7" x14ac:dyDescent="0.35">
      <c r="A80" s="2">
        <v>44778</v>
      </c>
      <c r="B80">
        <v>17397.5</v>
      </c>
      <c r="C80">
        <v>4140.0600590000004</v>
      </c>
      <c r="F80">
        <f t="shared" si="2"/>
        <v>8.9132972159968534E-4</v>
      </c>
      <c r="G80">
        <f t="shared" si="3"/>
        <v>-1.2383169259889972E-3</v>
      </c>
    </row>
    <row r="81" spans="1:7" x14ac:dyDescent="0.35">
      <c r="A81" s="2">
        <v>44781</v>
      </c>
      <c r="B81">
        <v>17525.099609000001</v>
      </c>
      <c r="C81">
        <v>4122.4702150000003</v>
      </c>
      <c r="F81">
        <f t="shared" si="2"/>
        <v>7.3075989907427051E-3</v>
      </c>
      <c r="G81">
        <f t="shared" si="3"/>
        <v>-4.2577442961510698E-3</v>
      </c>
    </row>
    <row r="82" spans="1:7" x14ac:dyDescent="0.35">
      <c r="A82" s="2">
        <v>44783</v>
      </c>
      <c r="B82">
        <v>17534.75</v>
      </c>
      <c r="C82">
        <v>4210.2402339999999</v>
      </c>
      <c r="F82">
        <f t="shared" si="2"/>
        <v>5.5050956300976427E-4</v>
      </c>
      <c r="G82">
        <f t="shared" si="3"/>
        <v>2.1067158333436736E-2</v>
      </c>
    </row>
    <row r="83" spans="1:7" x14ac:dyDescent="0.35">
      <c r="A83" s="2">
        <v>44784</v>
      </c>
      <c r="B83">
        <v>17659</v>
      </c>
      <c r="C83">
        <v>4207.2700199999999</v>
      </c>
      <c r="F83">
        <f t="shared" si="2"/>
        <v>7.0609421403666373E-3</v>
      </c>
      <c r="G83">
        <f t="shared" si="3"/>
        <v>-7.0572272171886088E-4</v>
      </c>
    </row>
    <row r="84" spans="1:7" x14ac:dyDescent="0.35">
      <c r="A84" s="2">
        <v>44785</v>
      </c>
      <c r="B84">
        <v>17698.150390999999</v>
      </c>
      <c r="C84">
        <v>4280.1499020000001</v>
      </c>
      <c r="F84">
        <f t="shared" si="2"/>
        <v>2.2145680049169341E-3</v>
      </c>
      <c r="G84">
        <f t="shared" si="3"/>
        <v>1.7174046759765853E-2</v>
      </c>
    </row>
    <row r="85" spans="1:7" x14ac:dyDescent="0.35">
      <c r="A85" s="2">
        <v>44789</v>
      </c>
      <c r="B85">
        <v>17825.25</v>
      </c>
      <c r="C85">
        <v>4297.1401370000003</v>
      </c>
      <c r="F85">
        <f t="shared" si="2"/>
        <v>7.1558550115442465E-3</v>
      </c>
      <c r="G85">
        <f t="shared" si="3"/>
        <v>3.9616842019963771E-3</v>
      </c>
    </row>
    <row r="86" spans="1:7" x14ac:dyDescent="0.35">
      <c r="A86" s="2">
        <v>44790</v>
      </c>
      <c r="B86">
        <v>17944.25</v>
      </c>
      <c r="C86">
        <v>4305.2001950000003</v>
      </c>
      <c r="F86">
        <f t="shared" si="2"/>
        <v>6.6537379070216564E-3</v>
      </c>
      <c r="G86">
        <f t="shared" si="3"/>
        <v>1.8739226879107348E-3</v>
      </c>
    </row>
    <row r="87" spans="1:7" x14ac:dyDescent="0.35">
      <c r="A87" s="2">
        <v>44791</v>
      </c>
      <c r="B87">
        <v>17956.5</v>
      </c>
      <c r="C87">
        <v>4274.0400390000004</v>
      </c>
      <c r="F87">
        <f t="shared" si="2"/>
        <v>6.8243702292707423E-4</v>
      </c>
      <c r="G87">
        <f t="shared" si="3"/>
        <v>-7.2641148096845238E-3</v>
      </c>
    </row>
    <row r="88" spans="1:7" x14ac:dyDescent="0.35">
      <c r="A88" s="2">
        <v>44792</v>
      </c>
      <c r="B88">
        <v>17758.449218999998</v>
      </c>
      <c r="C88">
        <v>4283.7402339999999</v>
      </c>
      <c r="F88">
        <f t="shared" si="2"/>
        <v>-1.109075137587731E-2</v>
      </c>
      <c r="G88">
        <f t="shared" si="3"/>
        <v>2.2669895334674148E-3</v>
      </c>
    </row>
    <row r="89" spans="1:7" x14ac:dyDescent="0.35">
      <c r="A89" s="2">
        <v>44795</v>
      </c>
      <c r="B89">
        <v>17490.699218999998</v>
      </c>
      <c r="C89">
        <v>4228.4799800000001</v>
      </c>
      <c r="F89">
        <f t="shared" si="2"/>
        <v>-1.5192148553993359E-2</v>
      </c>
      <c r="G89">
        <f t="shared" si="3"/>
        <v>-1.2983928736354001E-2</v>
      </c>
    </row>
    <row r="90" spans="1:7" x14ac:dyDescent="0.35">
      <c r="A90" s="2">
        <v>44796</v>
      </c>
      <c r="B90">
        <v>17577.5</v>
      </c>
      <c r="C90">
        <v>4137.9902339999999</v>
      </c>
      <c r="F90">
        <f t="shared" si="2"/>
        <v>4.9504086436529104E-3</v>
      </c>
      <c r="G90">
        <f t="shared" si="3"/>
        <v>-2.1632366446262888E-2</v>
      </c>
    </row>
    <row r="91" spans="1:7" x14ac:dyDescent="0.35">
      <c r="A91" s="2">
        <v>44797</v>
      </c>
      <c r="B91">
        <v>17604.949218999998</v>
      </c>
      <c r="C91">
        <v>4128.7299800000001</v>
      </c>
      <c r="F91">
        <f t="shared" si="2"/>
        <v>1.5603930470356744E-3</v>
      </c>
      <c r="G91">
        <f t="shared" si="3"/>
        <v>-2.2403704573474483E-3</v>
      </c>
    </row>
    <row r="92" spans="1:7" x14ac:dyDescent="0.35">
      <c r="A92" s="2">
        <v>44798</v>
      </c>
      <c r="B92">
        <v>17522.449218999998</v>
      </c>
      <c r="C92">
        <v>4140.7700199999999</v>
      </c>
      <c r="F92">
        <f t="shared" si="2"/>
        <v>-4.6971967954417947E-3</v>
      </c>
      <c r="G92">
        <f t="shared" si="3"/>
        <v>2.9119169254612858E-3</v>
      </c>
    </row>
    <row r="93" spans="1:7" x14ac:dyDescent="0.35">
      <c r="A93" s="2">
        <v>44799</v>
      </c>
      <c r="B93">
        <v>17558.900390999999</v>
      </c>
      <c r="C93">
        <v>4199.1201170000004</v>
      </c>
      <c r="F93">
        <f t="shared" si="2"/>
        <v>2.0780948009713469E-3</v>
      </c>
      <c r="G93">
        <f t="shared" si="3"/>
        <v>1.3993241678251318E-2</v>
      </c>
    </row>
    <row r="94" spans="1:7" x14ac:dyDescent="0.35">
      <c r="A94" s="2">
        <v>44802</v>
      </c>
      <c r="B94">
        <v>17312.900390999999</v>
      </c>
      <c r="C94">
        <v>4057.6599120000001</v>
      </c>
      <c r="F94">
        <f t="shared" si="2"/>
        <v>-1.4109055185640235E-2</v>
      </c>
      <c r="G94">
        <f t="shared" si="3"/>
        <v>-3.426857629934258E-2</v>
      </c>
    </row>
    <row r="95" spans="1:7" x14ac:dyDescent="0.35">
      <c r="A95" s="2">
        <v>44803</v>
      </c>
      <c r="B95">
        <v>17759.300781000002</v>
      </c>
      <c r="C95">
        <v>4030.610107</v>
      </c>
      <c r="F95">
        <f t="shared" si="2"/>
        <v>2.5457455391694684E-2</v>
      </c>
      <c r="G95">
        <f t="shared" si="3"/>
        <v>-6.6886752750374501E-3</v>
      </c>
    </row>
    <row r="96" spans="1:7" x14ac:dyDescent="0.35">
      <c r="A96" s="2">
        <v>44805</v>
      </c>
      <c r="B96">
        <v>17542.800781000002</v>
      </c>
      <c r="C96">
        <v>3986.1599120000001</v>
      </c>
      <c r="F96">
        <f t="shared" si="2"/>
        <v>-1.2265712506677323E-2</v>
      </c>
      <c r="G96">
        <f t="shared" si="3"/>
        <v>-1.1089416414887853E-2</v>
      </c>
    </row>
    <row r="97" spans="1:7" x14ac:dyDescent="0.35">
      <c r="A97" s="2">
        <v>44806</v>
      </c>
      <c r="B97">
        <v>17539.449218999998</v>
      </c>
      <c r="C97">
        <v>3955</v>
      </c>
      <c r="F97">
        <f t="shared" si="2"/>
        <v>-1.9106881743326563E-4</v>
      </c>
      <c r="G97">
        <f t="shared" si="3"/>
        <v>-7.8477381807143167E-3</v>
      </c>
    </row>
    <row r="98" spans="1:7" x14ac:dyDescent="0.35">
      <c r="A98" s="2">
        <v>44809</v>
      </c>
      <c r="B98">
        <v>17665.800781000002</v>
      </c>
      <c r="C98">
        <v>3966.8500979999999</v>
      </c>
      <c r="F98">
        <f t="shared" si="2"/>
        <v>7.1780262609507954E-3</v>
      </c>
      <c r="G98">
        <f t="shared" si="3"/>
        <v>2.991752353850595E-3</v>
      </c>
    </row>
    <row r="99" spans="1:7" x14ac:dyDescent="0.35">
      <c r="A99" s="2">
        <v>44810</v>
      </c>
      <c r="B99">
        <v>17655.599609000001</v>
      </c>
      <c r="C99">
        <v>3924.26001</v>
      </c>
      <c r="F99">
        <f t="shared" si="2"/>
        <v>-5.7761992282270099E-4</v>
      </c>
      <c r="G99">
        <f t="shared" si="3"/>
        <v>-1.079455259765533E-2</v>
      </c>
    </row>
    <row r="100" spans="1:7" x14ac:dyDescent="0.35">
      <c r="A100" s="2">
        <v>44811</v>
      </c>
      <c r="B100">
        <v>17624.400390999999</v>
      </c>
      <c r="C100">
        <v>3908.1899410000001</v>
      </c>
      <c r="F100">
        <f t="shared" si="2"/>
        <v>-1.768663612984197E-3</v>
      </c>
      <c r="G100">
        <f t="shared" si="3"/>
        <v>-4.1034648545681162E-3</v>
      </c>
    </row>
    <row r="101" spans="1:7" x14ac:dyDescent="0.35">
      <c r="A101" s="2">
        <v>44812</v>
      </c>
      <c r="B101">
        <v>17798.75</v>
      </c>
      <c r="C101">
        <v>3979.8701169999999</v>
      </c>
      <c r="F101">
        <f t="shared" si="2"/>
        <v>9.8439023622352469E-3</v>
      </c>
      <c r="G101">
        <f t="shared" si="3"/>
        <v>1.8174848723006034E-2</v>
      </c>
    </row>
    <row r="102" spans="1:7" x14ac:dyDescent="0.35">
      <c r="A102" s="2">
        <v>44813</v>
      </c>
      <c r="B102">
        <v>17833.349609000001</v>
      </c>
      <c r="C102">
        <v>4006.179932</v>
      </c>
      <c r="F102">
        <f t="shared" si="2"/>
        <v>1.9420477745730185E-3</v>
      </c>
      <c r="G102">
        <f t="shared" si="3"/>
        <v>6.5889670172598197E-3</v>
      </c>
    </row>
    <row r="103" spans="1:7" x14ac:dyDescent="0.35">
      <c r="A103" s="2">
        <v>44816</v>
      </c>
      <c r="B103">
        <v>17936.349609000001</v>
      </c>
      <c r="C103">
        <v>4067.360107</v>
      </c>
      <c r="F103">
        <f t="shared" si="2"/>
        <v>5.759080279404593E-3</v>
      </c>
      <c r="G103">
        <f t="shared" si="3"/>
        <v>1.5156014787783839E-2</v>
      </c>
    </row>
    <row r="104" spans="1:7" x14ac:dyDescent="0.35">
      <c r="A104" s="2">
        <v>44817</v>
      </c>
      <c r="B104">
        <v>18070.050781000002</v>
      </c>
      <c r="C104">
        <v>4110.4101559999999</v>
      </c>
      <c r="F104">
        <f t="shared" si="2"/>
        <v>7.426556671107162E-3</v>
      </c>
      <c r="G104">
        <f t="shared" si="3"/>
        <v>1.0528651526896656E-2</v>
      </c>
    </row>
    <row r="105" spans="1:7" x14ac:dyDescent="0.35">
      <c r="A105" s="2">
        <v>44818</v>
      </c>
      <c r="B105">
        <v>18003.75</v>
      </c>
      <c r="C105">
        <v>3932.6899410000001</v>
      </c>
      <c r="F105">
        <f t="shared" si="2"/>
        <v>-3.6758453070292289E-3</v>
      </c>
      <c r="G105">
        <f t="shared" si="3"/>
        <v>-4.4199163074453554E-2</v>
      </c>
    </row>
    <row r="106" spans="1:7" x14ac:dyDescent="0.35">
      <c r="A106" s="2">
        <v>44819</v>
      </c>
      <c r="B106">
        <v>17877.400390999999</v>
      </c>
      <c r="C106">
        <v>3946.01001</v>
      </c>
      <c r="F106">
        <f t="shared" si="2"/>
        <v>-7.0427023584336149E-3</v>
      </c>
      <c r="G106">
        <f t="shared" si="3"/>
        <v>3.3812892415410762E-3</v>
      </c>
    </row>
    <row r="107" spans="1:7" x14ac:dyDescent="0.35">
      <c r="A107" s="2">
        <v>44820</v>
      </c>
      <c r="B107">
        <v>17530.849609000001</v>
      </c>
      <c r="C107">
        <v>3901.3500979999999</v>
      </c>
      <c r="F107">
        <f t="shared" si="2"/>
        <v>-1.9575203412843755E-2</v>
      </c>
      <c r="G107">
        <f t="shared" si="3"/>
        <v>-1.1382272139434343E-2</v>
      </c>
    </row>
    <row r="108" spans="1:7" x14ac:dyDescent="0.35">
      <c r="A108" s="2">
        <v>44823</v>
      </c>
      <c r="B108">
        <v>17622.25</v>
      </c>
      <c r="C108">
        <v>3873.330078</v>
      </c>
      <c r="F108">
        <f t="shared" si="2"/>
        <v>5.2001443960003283E-3</v>
      </c>
      <c r="G108">
        <f t="shared" si="3"/>
        <v>-7.2080498960456181E-3</v>
      </c>
    </row>
    <row r="109" spans="1:7" x14ac:dyDescent="0.35">
      <c r="A109" s="2">
        <v>44824</v>
      </c>
      <c r="B109">
        <v>17816.25</v>
      </c>
      <c r="C109">
        <v>3899.889893</v>
      </c>
      <c r="F109">
        <f t="shared" si="2"/>
        <v>1.0948654031257964E-2</v>
      </c>
      <c r="G109">
        <f t="shared" si="3"/>
        <v>6.8336978651538068E-3</v>
      </c>
    </row>
    <row r="110" spans="1:7" x14ac:dyDescent="0.35">
      <c r="A110" s="2">
        <v>44825</v>
      </c>
      <c r="B110">
        <v>17718.349609000001</v>
      </c>
      <c r="C110">
        <v>3855.929932</v>
      </c>
      <c r="F110">
        <f t="shared" si="2"/>
        <v>-5.5101585373223917E-3</v>
      </c>
      <c r="G110">
        <f t="shared" si="3"/>
        <v>-1.1336114751575919E-2</v>
      </c>
    </row>
    <row r="111" spans="1:7" x14ac:dyDescent="0.35">
      <c r="A111" s="2">
        <v>44826</v>
      </c>
      <c r="B111">
        <v>17629.800781000002</v>
      </c>
      <c r="C111">
        <v>3789.929932</v>
      </c>
      <c r="F111">
        <f t="shared" si="2"/>
        <v>-5.0101073038478832E-3</v>
      </c>
      <c r="G111">
        <f t="shared" si="3"/>
        <v>-1.726467409688329E-2</v>
      </c>
    </row>
    <row r="112" spans="1:7" x14ac:dyDescent="0.35">
      <c r="A112" s="2">
        <v>44827</v>
      </c>
      <c r="B112">
        <v>17327.349609000001</v>
      </c>
      <c r="C112">
        <v>3757.98999</v>
      </c>
      <c r="F112">
        <f t="shared" si="2"/>
        <v>-1.7304540898369018E-2</v>
      </c>
      <c r="G112">
        <f t="shared" si="3"/>
        <v>-8.463293987644711E-3</v>
      </c>
    </row>
    <row r="113" spans="1:7" x14ac:dyDescent="0.35">
      <c r="A113" s="2">
        <v>44830</v>
      </c>
      <c r="B113">
        <v>17016.300781000002</v>
      </c>
      <c r="C113">
        <v>3693.2299800000001</v>
      </c>
      <c r="F113">
        <f t="shared" si="2"/>
        <v>-1.8114401342430666E-2</v>
      </c>
      <c r="G113">
        <f t="shared" si="3"/>
        <v>-1.7382828831885026E-2</v>
      </c>
    </row>
    <row r="114" spans="1:7" x14ac:dyDescent="0.35">
      <c r="A114" s="2">
        <v>44831</v>
      </c>
      <c r="B114">
        <v>17007.400390999999</v>
      </c>
      <c r="C114">
        <v>3655.040039</v>
      </c>
      <c r="F114">
        <f t="shared" si="2"/>
        <v>-5.2318765427839323E-4</v>
      </c>
      <c r="G114">
        <f t="shared" si="3"/>
        <v>-1.0394360780458715E-2</v>
      </c>
    </row>
    <row r="115" spans="1:7" x14ac:dyDescent="0.35">
      <c r="A115" s="2">
        <v>44832</v>
      </c>
      <c r="B115">
        <v>16858.599609000001</v>
      </c>
      <c r="C115">
        <v>3647.290039</v>
      </c>
      <c r="F115">
        <f t="shared" si="2"/>
        <v>-8.787677291228535E-3</v>
      </c>
      <c r="G115">
        <f t="shared" si="3"/>
        <v>-2.1226109548611099E-3</v>
      </c>
    </row>
    <row r="116" spans="1:7" x14ac:dyDescent="0.35">
      <c r="A116" s="2">
        <v>44833</v>
      </c>
      <c r="B116">
        <v>16818.099609000001</v>
      </c>
      <c r="C116">
        <v>3719.040039</v>
      </c>
      <c r="F116">
        <f t="shared" si="2"/>
        <v>-2.4052250051328542E-3</v>
      </c>
      <c r="G116">
        <f t="shared" si="3"/>
        <v>1.9481144181483136E-2</v>
      </c>
    </row>
    <row r="117" spans="1:7" x14ac:dyDescent="0.35">
      <c r="A117" s="2">
        <v>44834</v>
      </c>
      <c r="B117">
        <v>17094.349609000001</v>
      </c>
      <c r="C117">
        <v>3640.469971</v>
      </c>
      <c r="F117">
        <f t="shared" si="2"/>
        <v>1.6292312527142225E-2</v>
      </c>
      <c r="G117">
        <f t="shared" si="3"/>
        <v>-2.1352794724743534E-2</v>
      </c>
    </row>
    <row r="118" spans="1:7" x14ac:dyDescent="0.35">
      <c r="A118" s="2">
        <v>44837</v>
      </c>
      <c r="B118">
        <v>16887.349609000001</v>
      </c>
      <c r="C118">
        <v>3585.6201169999999</v>
      </c>
      <c r="F118">
        <f t="shared" si="2"/>
        <v>-1.2183178897593006E-2</v>
      </c>
      <c r="G118">
        <f t="shared" si="3"/>
        <v>-1.5181351680050055E-2</v>
      </c>
    </row>
    <row r="119" spans="1:7" x14ac:dyDescent="0.35">
      <c r="A119" s="2">
        <v>44838</v>
      </c>
      <c r="B119">
        <v>17274.300781000002</v>
      </c>
      <c r="C119">
        <v>3678.429932</v>
      </c>
      <c r="F119">
        <f t="shared" si="2"/>
        <v>2.2655095276284076E-2</v>
      </c>
      <c r="G119">
        <f t="shared" si="3"/>
        <v>2.5554577680920312E-2</v>
      </c>
    </row>
    <row r="120" spans="1:7" x14ac:dyDescent="0.35">
      <c r="A120" s="2">
        <v>44840</v>
      </c>
      <c r="B120">
        <v>17331.800781000002</v>
      </c>
      <c r="C120">
        <v>3790.929932</v>
      </c>
      <c r="F120">
        <f t="shared" si="2"/>
        <v>3.3231164632538412E-3</v>
      </c>
      <c r="G120">
        <f t="shared" si="3"/>
        <v>3.0125341413900452E-2</v>
      </c>
    </row>
    <row r="121" spans="1:7" x14ac:dyDescent="0.35">
      <c r="A121" s="2">
        <v>44841</v>
      </c>
      <c r="B121">
        <v>17314.650390999999</v>
      </c>
      <c r="C121">
        <v>3783.280029</v>
      </c>
      <c r="F121">
        <f t="shared" si="2"/>
        <v>-9.9002297901643402E-4</v>
      </c>
      <c r="G121">
        <f t="shared" si="3"/>
        <v>-2.0199877322069999E-3</v>
      </c>
    </row>
    <row r="122" spans="1:7" x14ac:dyDescent="0.35">
      <c r="A122" s="2">
        <v>44844</v>
      </c>
      <c r="B122">
        <v>17241</v>
      </c>
      <c r="C122">
        <v>3744.5200199999999</v>
      </c>
      <c r="F122">
        <f t="shared" si="2"/>
        <v>-4.2627183508505105E-3</v>
      </c>
      <c r="G122">
        <f t="shared" si="3"/>
        <v>-1.0297922707741995E-2</v>
      </c>
    </row>
    <row r="123" spans="1:7" x14ac:dyDescent="0.35">
      <c r="A123" s="2">
        <v>44845</v>
      </c>
      <c r="B123">
        <v>16983.550781000002</v>
      </c>
      <c r="C123">
        <v>3639.6599120000001</v>
      </c>
      <c r="F123">
        <f t="shared" si="2"/>
        <v>-1.5044993683298553E-2</v>
      </c>
      <c r="G123">
        <f t="shared" si="3"/>
        <v>-2.8403196686711915E-2</v>
      </c>
    </row>
    <row r="124" spans="1:7" x14ac:dyDescent="0.35">
      <c r="A124" s="2">
        <v>44846</v>
      </c>
      <c r="B124">
        <v>17123.599609000001</v>
      </c>
      <c r="C124">
        <v>3612.389893</v>
      </c>
      <c r="F124">
        <f t="shared" si="2"/>
        <v>8.212331637209587E-3</v>
      </c>
      <c r="G124">
        <f t="shared" si="3"/>
        <v>-7.5206729868162936E-3</v>
      </c>
    </row>
    <row r="125" spans="1:7" x14ac:dyDescent="0.35">
      <c r="A125" s="2">
        <v>44847</v>
      </c>
      <c r="B125">
        <v>17014.349609000001</v>
      </c>
      <c r="C125">
        <v>3588.8400879999999</v>
      </c>
      <c r="F125">
        <f t="shared" si="2"/>
        <v>-6.4005234918923983E-3</v>
      </c>
      <c r="G125">
        <f t="shared" si="3"/>
        <v>-6.5405184986329678E-3</v>
      </c>
    </row>
    <row r="126" spans="1:7" x14ac:dyDescent="0.35">
      <c r="A126" s="2">
        <v>44848</v>
      </c>
      <c r="B126">
        <v>17185.699218999998</v>
      </c>
      <c r="C126">
        <v>3577.030029</v>
      </c>
      <c r="F126">
        <f t="shared" si="2"/>
        <v>1.0020514569285821E-2</v>
      </c>
      <c r="G126">
        <f t="shared" si="3"/>
        <v>-3.296199763637455E-3</v>
      </c>
    </row>
    <row r="127" spans="1:7" x14ac:dyDescent="0.35">
      <c r="A127" s="2">
        <v>44851</v>
      </c>
      <c r="B127">
        <v>17311.800781000002</v>
      </c>
      <c r="C127">
        <v>3669.9099120000001</v>
      </c>
      <c r="F127">
        <f t="shared" si="2"/>
        <v>7.3107978058344668E-3</v>
      </c>
      <c r="G127">
        <f t="shared" si="3"/>
        <v>2.5634259360822767E-2</v>
      </c>
    </row>
    <row r="128" spans="1:7" x14ac:dyDescent="0.35">
      <c r="A128" s="2">
        <v>44852</v>
      </c>
      <c r="B128">
        <v>17486.949218999998</v>
      </c>
      <c r="C128">
        <v>3583.070068</v>
      </c>
      <c r="F128">
        <f t="shared" si="2"/>
        <v>1.0066448767820283E-2</v>
      </c>
      <c r="G128">
        <f t="shared" si="3"/>
        <v>-2.394712081502335E-2</v>
      </c>
    </row>
    <row r="129" spans="1:7" x14ac:dyDescent="0.35">
      <c r="A129" s="2">
        <v>44853</v>
      </c>
      <c r="B129">
        <v>17512.25</v>
      </c>
      <c r="C129">
        <v>3677.9499510000001</v>
      </c>
      <c r="F129">
        <f t="shared" si="2"/>
        <v>1.4457922450685507E-3</v>
      </c>
      <c r="G129">
        <f t="shared" si="3"/>
        <v>2.6135524611128742E-2</v>
      </c>
    </row>
    <row r="130" spans="1:7" x14ac:dyDescent="0.35">
      <c r="A130" s="2">
        <v>44854</v>
      </c>
      <c r="B130">
        <v>17563.949218999998</v>
      </c>
      <c r="C130">
        <v>3719.9799800000001</v>
      </c>
      <c r="F130">
        <f t="shared" si="2"/>
        <v>2.9478254536448572E-3</v>
      </c>
      <c r="G130">
        <f t="shared" si="3"/>
        <v>1.1362768127809775E-2</v>
      </c>
    </row>
    <row r="131" spans="1:7" x14ac:dyDescent="0.35">
      <c r="A131" s="2">
        <v>44855</v>
      </c>
      <c r="B131">
        <v>17576.300781000002</v>
      </c>
      <c r="C131">
        <v>3695.1599120000001</v>
      </c>
      <c r="F131">
        <f t="shared" si="2"/>
        <v>7.0298660417456211E-4</v>
      </c>
      <c r="G131">
        <f t="shared" si="3"/>
        <v>-6.6944551432751723E-3</v>
      </c>
    </row>
    <row r="132" spans="1:7" x14ac:dyDescent="0.35">
      <c r="A132" s="2">
        <v>44858</v>
      </c>
      <c r="B132">
        <v>17730.75</v>
      </c>
      <c r="C132">
        <v>3665.780029</v>
      </c>
      <c r="F132">
        <f t="shared" ref="F132:F195" si="4">LN(B132/B131)</f>
        <v>8.7489722743186327E-3</v>
      </c>
      <c r="G132">
        <f t="shared" ref="G132:G195" si="5">LN(C132/C131)</f>
        <v>-7.9826867901527064E-3</v>
      </c>
    </row>
    <row r="133" spans="1:7" x14ac:dyDescent="0.35">
      <c r="A133" s="2">
        <v>44859</v>
      </c>
      <c r="B133">
        <v>17656.349609000001</v>
      </c>
      <c r="C133">
        <v>3752.75</v>
      </c>
      <c r="F133">
        <f t="shared" si="4"/>
        <v>-4.2049504733975805E-3</v>
      </c>
      <c r="G133">
        <f t="shared" si="5"/>
        <v>2.3447759941432694E-2</v>
      </c>
    </row>
    <row r="134" spans="1:7" x14ac:dyDescent="0.35">
      <c r="A134" s="2">
        <v>44861</v>
      </c>
      <c r="B134">
        <v>17736.949218999998</v>
      </c>
      <c r="C134">
        <v>3797.3400879999999</v>
      </c>
      <c r="F134">
        <f t="shared" si="4"/>
        <v>4.5545203186163844E-3</v>
      </c>
      <c r="G134">
        <f t="shared" si="5"/>
        <v>1.181194023391461E-2</v>
      </c>
    </row>
    <row r="135" spans="1:7" x14ac:dyDescent="0.35">
      <c r="A135" s="2">
        <v>44862</v>
      </c>
      <c r="B135">
        <v>17786.800781000002</v>
      </c>
      <c r="C135">
        <v>3859.110107</v>
      </c>
      <c r="F135">
        <f t="shared" si="4"/>
        <v>2.8066628509026714E-3</v>
      </c>
      <c r="G135">
        <f t="shared" si="5"/>
        <v>1.6135769877752698E-2</v>
      </c>
    </row>
    <row r="136" spans="1:7" x14ac:dyDescent="0.35">
      <c r="A136" s="2">
        <v>44865</v>
      </c>
      <c r="B136">
        <v>18012.199218999998</v>
      </c>
      <c r="C136">
        <v>3830.6000979999999</v>
      </c>
      <c r="F136">
        <f t="shared" si="4"/>
        <v>1.2592609654815042E-2</v>
      </c>
      <c r="G136">
        <f t="shared" si="5"/>
        <v>-7.4151401999326934E-3</v>
      </c>
    </row>
    <row r="137" spans="1:7" x14ac:dyDescent="0.35">
      <c r="A137" s="2">
        <v>44866</v>
      </c>
      <c r="B137">
        <v>18145.400390999999</v>
      </c>
      <c r="C137">
        <v>3807.3000489999999</v>
      </c>
      <c r="F137">
        <f t="shared" si="4"/>
        <v>7.3678438837951757E-3</v>
      </c>
      <c r="G137">
        <f t="shared" si="5"/>
        <v>-6.1011850977788036E-3</v>
      </c>
    </row>
    <row r="138" spans="1:7" x14ac:dyDescent="0.35">
      <c r="A138" s="2">
        <v>44867</v>
      </c>
      <c r="B138">
        <v>18082.849609000001</v>
      </c>
      <c r="C138">
        <v>3901.0600589999999</v>
      </c>
      <c r="F138">
        <f t="shared" si="4"/>
        <v>-3.4531529486517124E-3</v>
      </c>
      <c r="G138">
        <f t="shared" si="5"/>
        <v>2.4328036829851157E-2</v>
      </c>
    </row>
    <row r="139" spans="1:7" x14ac:dyDescent="0.35">
      <c r="A139" s="2">
        <v>44868</v>
      </c>
      <c r="B139">
        <v>18052.699218999998</v>
      </c>
      <c r="C139">
        <v>3871.9799800000001</v>
      </c>
      <c r="F139">
        <f t="shared" si="4"/>
        <v>-1.668738844407032E-3</v>
      </c>
      <c r="G139">
        <f t="shared" si="5"/>
        <v>-7.4823272555367918E-3</v>
      </c>
    </row>
    <row r="140" spans="1:7" x14ac:dyDescent="0.35">
      <c r="A140" s="2">
        <v>44869</v>
      </c>
      <c r="B140">
        <v>18117.150390999999</v>
      </c>
      <c r="C140">
        <v>3856.1000979999999</v>
      </c>
      <c r="F140">
        <f t="shared" si="4"/>
        <v>3.5638102402827747E-3</v>
      </c>
      <c r="G140">
        <f t="shared" si="5"/>
        <v>-4.1096635101525803E-3</v>
      </c>
    </row>
    <row r="141" spans="1:7" x14ac:dyDescent="0.35">
      <c r="A141" s="2">
        <v>44872</v>
      </c>
      <c r="B141">
        <v>18202.800781000002</v>
      </c>
      <c r="C141">
        <v>3759.6899410000001</v>
      </c>
      <c r="F141">
        <f t="shared" si="4"/>
        <v>4.7164462511404557E-3</v>
      </c>
      <c r="G141">
        <f t="shared" si="5"/>
        <v>-2.5319843934681438E-2</v>
      </c>
    </row>
    <row r="142" spans="1:7" x14ac:dyDescent="0.35">
      <c r="A142" s="2">
        <v>44874</v>
      </c>
      <c r="B142">
        <v>18157</v>
      </c>
      <c r="C142">
        <v>3719.889893</v>
      </c>
      <c r="F142">
        <f t="shared" si="4"/>
        <v>-2.5193100204462114E-3</v>
      </c>
      <c r="G142">
        <f t="shared" si="5"/>
        <v>-1.0642422310491896E-2</v>
      </c>
    </row>
    <row r="143" spans="1:7" x14ac:dyDescent="0.35">
      <c r="A143" s="2">
        <v>44875</v>
      </c>
      <c r="B143">
        <v>18028.199218999998</v>
      </c>
      <c r="C143">
        <v>3770.5500489999999</v>
      </c>
      <c r="F143">
        <f t="shared" si="4"/>
        <v>-7.1190059886798796E-3</v>
      </c>
      <c r="G143">
        <f t="shared" si="5"/>
        <v>1.3526823217736886E-2</v>
      </c>
    </row>
    <row r="144" spans="1:7" x14ac:dyDescent="0.35">
      <c r="A144" s="2">
        <v>44876</v>
      </c>
      <c r="B144">
        <v>18349.699218999998</v>
      </c>
      <c r="C144">
        <v>3806.8000489999999</v>
      </c>
      <c r="F144">
        <f t="shared" si="4"/>
        <v>1.7676027731239826E-2</v>
      </c>
      <c r="G144">
        <f t="shared" si="5"/>
        <v>9.5680616789252174E-3</v>
      </c>
    </row>
    <row r="145" spans="1:7" x14ac:dyDescent="0.35">
      <c r="A145" s="2">
        <v>44879</v>
      </c>
      <c r="B145">
        <v>18329.150390999999</v>
      </c>
      <c r="C145">
        <v>3828.110107</v>
      </c>
      <c r="F145">
        <f t="shared" si="4"/>
        <v>-1.1204729902024174E-3</v>
      </c>
      <c r="G145">
        <f t="shared" si="5"/>
        <v>5.5822826734064964E-3</v>
      </c>
    </row>
    <row r="146" spans="1:7" x14ac:dyDescent="0.35">
      <c r="A146" s="2">
        <v>44880</v>
      </c>
      <c r="B146">
        <v>18403.400390999999</v>
      </c>
      <c r="C146">
        <v>3748.570068</v>
      </c>
      <c r="F146">
        <f t="shared" si="4"/>
        <v>4.0427413586184716E-3</v>
      </c>
      <c r="G146">
        <f t="shared" si="5"/>
        <v>-2.0996784697968826E-2</v>
      </c>
    </row>
    <row r="147" spans="1:7" x14ac:dyDescent="0.35">
      <c r="A147" s="2">
        <v>44881</v>
      </c>
      <c r="B147">
        <v>18409.650390999999</v>
      </c>
      <c r="C147">
        <v>3956.3701169999999</v>
      </c>
      <c r="F147">
        <f t="shared" si="4"/>
        <v>3.3955349677827794E-4</v>
      </c>
      <c r="G147">
        <f t="shared" si="5"/>
        <v>5.3952515713275633E-2</v>
      </c>
    </row>
    <row r="148" spans="1:7" x14ac:dyDescent="0.35">
      <c r="A148" s="2">
        <v>44882</v>
      </c>
      <c r="B148">
        <v>18343.900390999999</v>
      </c>
      <c r="C148">
        <v>3992.929932</v>
      </c>
      <c r="F148">
        <f t="shared" si="4"/>
        <v>-3.5778894142985745E-3</v>
      </c>
      <c r="G148">
        <f t="shared" si="5"/>
        <v>9.1983124421638109E-3</v>
      </c>
    </row>
    <row r="149" spans="1:7" x14ac:dyDescent="0.35">
      <c r="A149" s="2">
        <v>44883</v>
      </c>
      <c r="B149">
        <v>18307.650390999999</v>
      </c>
      <c r="C149">
        <v>3957.25</v>
      </c>
      <c r="F149">
        <f t="shared" si="4"/>
        <v>-1.9780888418956572E-3</v>
      </c>
      <c r="G149">
        <f t="shared" si="5"/>
        <v>-8.9759406349209057E-3</v>
      </c>
    </row>
    <row r="150" spans="1:7" x14ac:dyDescent="0.35">
      <c r="A150" s="2">
        <v>44886</v>
      </c>
      <c r="B150">
        <v>18159.949218999998</v>
      </c>
      <c r="C150">
        <v>3991.7299800000001</v>
      </c>
      <c r="F150">
        <f t="shared" si="4"/>
        <v>-8.100449781425165E-3</v>
      </c>
      <c r="G150">
        <f t="shared" si="5"/>
        <v>8.6753762972389022E-3</v>
      </c>
    </row>
    <row r="151" spans="1:7" x14ac:dyDescent="0.35">
      <c r="A151" s="2">
        <v>44887</v>
      </c>
      <c r="B151">
        <v>18244.199218999998</v>
      </c>
      <c r="C151">
        <v>3958.790039</v>
      </c>
      <c r="F151">
        <f t="shared" si="4"/>
        <v>4.6286016307969463E-3</v>
      </c>
      <c r="G151">
        <f t="shared" si="5"/>
        <v>-8.2862830102311893E-3</v>
      </c>
    </row>
    <row r="152" spans="1:7" x14ac:dyDescent="0.35">
      <c r="A152" s="2">
        <v>44888</v>
      </c>
      <c r="B152">
        <v>18267.25</v>
      </c>
      <c r="C152">
        <v>3946.5600589999999</v>
      </c>
      <c r="F152">
        <f t="shared" si="4"/>
        <v>1.2626605930788001E-3</v>
      </c>
      <c r="G152">
        <f t="shared" si="5"/>
        <v>-3.094104525503846E-3</v>
      </c>
    </row>
    <row r="153" spans="1:7" x14ac:dyDescent="0.35">
      <c r="A153" s="2">
        <v>44889</v>
      </c>
      <c r="B153">
        <v>18484.099609000001</v>
      </c>
      <c r="C153">
        <v>3965.3400879999999</v>
      </c>
      <c r="F153">
        <f t="shared" si="4"/>
        <v>1.1801042841926733E-2</v>
      </c>
      <c r="G153">
        <f t="shared" si="5"/>
        <v>4.7472955728031351E-3</v>
      </c>
    </row>
    <row r="154" spans="1:7" x14ac:dyDescent="0.35">
      <c r="A154" s="2">
        <v>44890</v>
      </c>
      <c r="B154">
        <v>18512.75</v>
      </c>
      <c r="C154">
        <v>3949.9399410000001</v>
      </c>
      <c r="F154">
        <f t="shared" si="4"/>
        <v>1.5488019671931251E-3</v>
      </c>
      <c r="G154">
        <f t="shared" si="5"/>
        <v>-3.8912499307080248E-3</v>
      </c>
    </row>
    <row r="155" spans="1:7" x14ac:dyDescent="0.35">
      <c r="A155" s="2">
        <v>44893</v>
      </c>
      <c r="B155">
        <v>18562.75</v>
      </c>
      <c r="C155">
        <v>4003.580078</v>
      </c>
      <c r="F155">
        <f t="shared" si="4"/>
        <v>2.6972005940332764E-3</v>
      </c>
      <c r="G155">
        <f t="shared" si="5"/>
        <v>1.3488606341456058E-2</v>
      </c>
    </row>
    <row r="156" spans="1:7" x14ac:dyDescent="0.35">
      <c r="A156" s="2">
        <v>44894</v>
      </c>
      <c r="B156">
        <v>18618.050781000002</v>
      </c>
      <c r="C156">
        <v>4027.26001</v>
      </c>
      <c r="F156">
        <f t="shared" si="4"/>
        <v>2.9746977266382137E-3</v>
      </c>
      <c r="G156">
        <f t="shared" si="5"/>
        <v>5.8972661311574737E-3</v>
      </c>
    </row>
    <row r="157" spans="1:7" x14ac:dyDescent="0.35">
      <c r="A157" s="2">
        <v>44895</v>
      </c>
      <c r="B157">
        <v>18758.349609000001</v>
      </c>
      <c r="C157">
        <v>4026.1201169999999</v>
      </c>
      <c r="F157">
        <f t="shared" si="4"/>
        <v>7.5073835619116095E-3</v>
      </c>
      <c r="G157">
        <f t="shared" si="5"/>
        <v>-2.8308436697046179E-4</v>
      </c>
    </row>
    <row r="158" spans="1:7" x14ac:dyDescent="0.35">
      <c r="A158" s="2">
        <v>44896</v>
      </c>
      <c r="B158">
        <v>18812.5</v>
      </c>
      <c r="C158">
        <v>3963.9399410000001</v>
      </c>
      <c r="F158">
        <f t="shared" si="4"/>
        <v>2.8825767348511656E-3</v>
      </c>
      <c r="G158">
        <f t="shared" si="5"/>
        <v>-1.5564696849980235E-2</v>
      </c>
    </row>
    <row r="159" spans="1:7" x14ac:dyDescent="0.35">
      <c r="A159" s="2">
        <v>44897</v>
      </c>
      <c r="B159">
        <v>18696.099609000001</v>
      </c>
      <c r="C159">
        <v>3957.6298830000001</v>
      </c>
      <c r="F159">
        <f t="shared" si="4"/>
        <v>-6.206617462596915E-3</v>
      </c>
      <c r="G159">
        <f t="shared" si="5"/>
        <v>-1.5931335517611624E-3</v>
      </c>
    </row>
    <row r="160" spans="1:7" x14ac:dyDescent="0.35">
      <c r="A160" s="2">
        <v>44900</v>
      </c>
      <c r="B160">
        <v>18701.050781000002</v>
      </c>
      <c r="C160">
        <v>4080.110107</v>
      </c>
      <c r="F160">
        <f t="shared" si="4"/>
        <v>2.647887326866388E-4</v>
      </c>
      <c r="G160">
        <f t="shared" si="5"/>
        <v>3.0478643370520111E-2</v>
      </c>
    </row>
    <row r="161" spans="1:7" x14ac:dyDescent="0.35">
      <c r="A161" s="2">
        <v>44901</v>
      </c>
      <c r="B161">
        <v>18642.75</v>
      </c>
      <c r="C161">
        <v>4076.570068</v>
      </c>
      <c r="F161">
        <f t="shared" si="4"/>
        <v>-3.122383214700999E-3</v>
      </c>
      <c r="G161">
        <f t="shared" si="5"/>
        <v>-8.6800981436487956E-4</v>
      </c>
    </row>
    <row r="162" spans="1:7" x14ac:dyDescent="0.35">
      <c r="A162" s="2">
        <v>44902</v>
      </c>
      <c r="B162">
        <v>18560.5</v>
      </c>
      <c r="C162">
        <v>4071.6999510000001</v>
      </c>
      <c r="F162">
        <f t="shared" si="4"/>
        <v>-4.4216639141222676E-3</v>
      </c>
      <c r="G162">
        <f t="shared" si="5"/>
        <v>-1.195374617817392E-3</v>
      </c>
    </row>
    <row r="163" spans="1:7" x14ac:dyDescent="0.35">
      <c r="A163" s="2">
        <v>44903</v>
      </c>
      <c r="B163">
        <v>18609.349609000001</v>
      </c>
      <c r="C163">
        <v>3998.8400879999999</v>
      </c>
      <c r="F163">
        <f t="shared" si="4"/>
        <v>2.6284549245213147E-3</v>
      </c>
      <c r="G163">
        <f t="shared" si="5"/>
        <v>-1.8056249561408524E-2</v>
      </c>
    </row>
    <row r="164" spans="1:7" x14ac:dyDescent="0.35">
      <c r="A164" s="2">
        <v>44904</v>
      </c>
      <c r="B164">
        <v>18496.599609000001</v>
      </c>
      <c r="C164">
        <v>3941.26001</v>
      </c>
      <c r="F164">
        <f t="shared" si="4"/>
        <v>-6.0772113037162534E-3</v>
      </c>
      <c r="G164">
        <f t="shared" si="5"/>
        <v>-1.4503869390870719E-2</v>
      </c>
    </row>
    <row r="165" spans="1:7" x14ac:dyDescent="0.35">
      <c r="A165" s="2">
        <v>44907</v>
      </c>
      <c r="B165">
        <v>18497.150390999999</v>
      </c>
      <c r="C165">
        <v>3933.919922</v>
      </c>
      <c r="F165">
        <f t="shared" si="4"/>
        <v>2.9777029905906608E-5</v>
      </c>
      <c r="G165">
        <f t="shared" si="5"/>
        <v>-1.8641072810736824E-3</v>
      </c>
    </row>
    <row r="166" spans="1:7" x14ac:dyDescent="0.35">
      <c r="A166" s="2">
        <v>44908</v>
      </c>
      <c r="B166">
        <v>18608</v>
      </c>
      <c r="C166">
        <v>3963.51001</v>
      </c>
      <c r="F166">
        <f t="shared" si="4"/>
        <v>5.9749084752369142E-3</v>
      </c>
      <c r="G166">
        <f t="shared" si="5"/>
        <v>7.4936344412916264E-3</v>
      </c>
    </row>
    <row r="167" spans="1:7" x14ac:dyDescent="0.35">
      <c r="A167" s="2">
        <v>44909</v>
      </c>
      <c r="B167">
        <v>18660.300781000002</v>
      </c>
      <c r="C167">
        <v>3934.3798830000001</v>
      </c>
      <c r="F167">
        <f t="shared" si="4"/>
        <v>2.8067185376308484E-3</v>
      </c>
      <c r="G167">
        <f t="shared" si="5"/>
        <v>-7.3767194756895575E-3</v>
      </c>
    </row>
    <row r="168" spans="1:7" x14ac:dyDescent="0.35">
      <c r="A168" s="2">
        <v>44910</v>
      </c>
      <c r="B168">
        <v>18414.900390999999</v>
      </c>
      <c r="C168">
        <v>3990.5600589999999</v>
      </c>
      <c r="F168">
        <f t="shared" si="4"/>
        <v>-1.3238173554537783E-2</v>
      </c>
      <c r="G168">
        <f t="shared" si="5"/>
        <v>1.4178307353796042E-2</v>
      </c>
    </row>
    <row r="169" spans="1:7" x14ac:dyDescent="0.35">
      <c r="A169" s="2">
        <v>44911</v>
      </c>
      <c r="B169">
        <v>18269</v>
      </c>
      <c r="C169">
        <v>4019.6499020000001</v>
      </c>
      <c r="F169">
        <f t="shared" si="4"/>
        <v>-7.9545064049689612E-3</v>
      </c>
      <c r="G169">
        <f t="shared" si="5"/>
        <v>7.2632230681369796E-3</v>
      </c>
    </row>
    <row r="170" spans="1:7" x14ac:dyDescent="0.35">
      <c r="A170" s="2">
        <v>44914</v>
      </c>
      <c r="B170">
        <v>18420.449218999998</v>
      </c>
      <c r="C170">
        <v>3995.320068</v>
      </c>
      <c r="F170">
        <f t="shared" si="4"/>
        <v>8.2557837432170999E-3</v>
      </c>
      <c r="G170">
        <f t="shared" si="5"/>
        <v>-6.0711166282675956E-3</v>
      </c>
    </row>
    <row r="171" spans="1:7" x14ac:dyDescent="0.35">
      <c r="A171" s="2">
        <v>44915</v>
      </c>
      <c r="B171">
        <v>18385.300781000002</v>
      </c>
      <c r="C171">
        <v>3895.75</v>
      </c>
      <c r="F171">
        <f t="shared" si="4"/>
        <v>-1.9099433476986614E-3</v>
      </c>
      <c r="G171">
        <f t="shared" si="5"/>
        <v>-2.523747781187699E-2</v>
      </c>
    </row>
    <row r="172" spans="1:7" x14ac:dyDescent="0.35">
      <c r="A172" s="2">
        <v>44916</v>
      </c>
      <c r="B172">
        <v>18199.099609000001</v>
      </c>
      <c r="C172">
        <v>3852.360107</v>
      </c>
      <c r="F172">
        <f t="shared" si="4"/>
        <v>-1.0179353923949827E-2</v>
      </c>
      <c r="G172">
        <f t="shared" si="5"/>
        <v>-1.1200240055522422E-2</v>
      </c>
    </row>
    <row r="173" spans="1:7" x14ac:dyDescent="0.35">
      <c r="A173" s="2">
        <v>44917</v>
      </c>
      <c r="B173">
        <v>18127.349609000001</v>
      </c>
      <c r="C173">
        <v>3817.6599120000001</v>
      </c>
      <c r="F173">
        <f t="shared" si="4"/>
        <v>-3.9502948869717903E-3</v>
      </c>
      <c r="G173">
        <f t="shared" si="5"/>
        <v>-9.0483288602426527E-3</v>
      </c>
    </row>
    <row r="174" spans="1:7" x14ac:dyDescent="0.35">
      <c r="A174" s="2">
        <v>44918</v>
      </c>
      <c r="B174">
        <v>17806.800781000002</v>
      </c>
      <c r="C174">
        <v>3821.6201169999999</v>
      </c>
      <c r="F174">
        <f t="shared" si="4"/>
        <v>-1.7841375261437184E-2</v>
      </c>
      <c r="G174">
        <f t="shared" si="5"/>
        <v>1.0368006774774017E-3</v>
      </c>
    </row>
    <row r="175" spans="1:7" x14ac:dyDescent="0.35">
      <c r="A175" s="2">
        <v>44921</v>
      </c>
      <c r="B175">
        <v>18014.599609000001</v>
      </c>
      <c r="C175">
        <v>3878.4399410000001</v>
      </c>
      <c r="F175">
        <f t="shared" si="4"/>
        <v>1.1602067852217653E-2</v>
      </c>
      <c r="G175">
        <f t="shared" si="5"/>
        <v>1.475854861337161E-2</v>
      </c>
    </row>
    <row r="176" spans="1:7" x14ac:dyDescent="0.35">
      <c r="A176" s="2">
        <v>44922</v>
      </c>
      <c r="B176">
        <v>18132.300781000002</v>
      </c>
      <c r="C176">
        <v>3822.389893</v>
      </c>
      <c r="F176">
        <f t="shared" si="4"/>
        <v>6.5124028184427333E-3</v>
      </c>
      <c r="G176">
        <f t="shared" si="5"/>
        <v>-1.4557142283030462E-2</v>
      </c>
    </row>
    <row r="177" spans="1:7" x14ac:dyDescent="0.35">
      <c r="A177" s="2">
        <v>44923</v>
      </c>
      <c r="B177">
        <v>18122.5</v>
      </c>
      <c r="C177">
        <v>3844.820068</v>
      </c>
      <c r="F177">
        <f t="shared" si="4"/>
        <v>-5.4066115535690584E-4</v>
      </c>
      <c r="G177">
        <f t="shared" si="5"/>
        <v>5.8509520680756774E-3</v>
      </c>
    </row>
    <row r="178" spans="1:7" x14ac:dyDescent="0.35">
      <c r="A178" s="2">
        <v>44924</v>
      </c>
      <c r="B178">
        <v>18191</v>
      </c>
      <c r="C178">
        <v>3829.25</v>
      </c>
      <c r="F178">
        <f t="shared" si="4"/>
        <v>3.7727060871833766E-3</v>
      </c>
      <c r="G178">
        <f t="shared" si="5"/>
        <v>-4.0578439411895362E-3</v>
      </c>
    </row>
    <row r="179" spans="1:7" x14ac:dyDescent="0.35">
      <c r="A179" s="2">
        <v>44925</v>
      </c>
      <c r="B179">
        <v>18105.300781000002</v>
      </c>
      <c r="C179">
        <v>3783.219971</v>
      </c>
      <c r="F179">
        <f t="shared" si="4"/>
        <v>-4.7222100549313677E-3</v>
      </c>
      <c r="G179">
        <f t="shared" si="5"/>
        <v>-1.2093470364477122E-2</v>
      </c>
    </row>
    <row r="180" spans="1:7" x14ac:dyDescent="0.35">
      <c r="A180" s="2">
        <v>44928</v>
      </c>
      <c r="B180">
        <v>18197.449218999998</v>
      </c>
      <c r="C180">
        <v>3849.280029</v>
      </c>
      <c r="F180">
        <f t="shared" si="4"/>
        <v>5.0766752330822021E-3</v>
      </c>
      <c r="G180">
        <f t="shared" si="5"/>
        <v>1.7310634159397879E-2</v>
      </c>
    </row>
    <row r="181" spans="1:7" x14ac:dyDescent="0.35">
      <c r="A181" s="2">
        <v>44929</v>
      </c>
      <c r="B181">
        <v>18232.550781000002</v>
      </c>
      <c r="C181">
        <v>3839.5</v>
      </c>
      <c r="F181">
        <f t="shared" si="4"/>
        <v>1.9270696054218784E-3</v>
      </c>
      <c r="G181">
        <f t="shared" si="5"/>
        <v>-2.5439755689859712E-3</v>
      </c>
    </row>
    <row r="182" spans="1:7" x14ac:dyDescent="0.35">
      <c r="A182" s="2">
        <v>44930</v>
      </c>
      <c r="B182">
        <v>18042.949218999998</v>
      </c>
      <c r="C182">
        <v>3824.139893</v>
      </c>
      <c r="F182">
        <f t="shared" si="4"/>
        <v>-1.0453517584725534E-2</v>
      </c>
      <c r="G182">
        <f t="shared" si="5"/>
        <v>-4.0085723709547202E-3</v>
      </c>
    </row>
    <row r="183" spans="1:7" x14ac:dyDescent="0.35">
      <c r="A183" s="2">
        <v>44931</v>
      </c>
      <c r="B183">
        <v>17992.150390999999</v>
      </c>
      <c r="C183">
        <v>3852.969971</v>
      </c>
      <c r="F183">
        <f t="shared" si="4"/>
        <v>-2.8194100862814226E-3</v>
      </c>
      <c r="G183">
        <f t="shared" si="5"/>
        <v>7.5106945288709792E-3</v>
      </c>
    </row>
    <row r="184" spans="1:7" x14ac:dyDescent="0.35">
      <c r="A184" s="2">
        <v>44932</v>
      </c>
      <c r="B184">
        <v>17859.449218999998</v>
      </c>
      <c r="C184">
        <v>3808.1000979999999</v>
      </c>
      <c r="F184">
        <f t="shared" si="4"/>
        <v>-7.4028372216093756E-3</v>
      </c>
      <c r="G184">
        <f t="shared" si="5"/>
        <v>-1.1713869123240021E-2</v>
      </c>
    </row>
    <row r="185" spans="1:7" x14ac:dyDescent="0.35">
      <c r="A185" s="2">
        <v>44935</v>
      </c>
      <c r="B185">
        <v>18101.199218999998</v>
      </c>
      <c r="C185">
        <v>3895.080078</v>
      </c>
      <c r="F185">
        <f t="shared" si="4"/>
        <v>1.3445455099336265E-2</v>
      </c>
      <c r="G185">
        <f t="shared" si="5"/>
        <v>2.2583835466670914E-2</v>
      </c>
    </row>
    <row r="186" spans="1:7" x14ac:dyDescent="0.35">
      <c r="A186" s="2">
        <v>44936</v>
      </c>
      <c r="B186">
        <v>17914.150390999999</v>
      </c>
      <c r="C186">
        <v>3892.0900879999999</v>
      </c>
      <c r="F186">
        <f t="shared" si="4"/>
        <v>-1.0387266086815328E-2</v>
      </c>
      <c r="G186">
        <f t="shared" si="5"/>
        <v>-7.6792726579704015E-4</v>
      </c>
    </row>
    <row r="187" spans="1:7" x14ac:dyDescent="0.35">
      <c r="A187" s="2">
        <v>44937</v>
      </c>
      <c r="B187">
        <v>17895.699218999998</v>
      </c>
      <c r="C187">
        <v>3919.25</v>
      </c>
      <c r="F187">
        <f t="shared" si="4"/>
        <v>-1.0305083005819953E-3</v>
      </c>
      <c r="G187">
        <f t="shared" si="5"/>
        <v>6.9539979424920245E-3</v>
      </c>
    </row>
    <row r="188" spans="1:7" x14ac:dyDescent="0.35">
      <c r="A188" s="2">
        <v>44938</v>
      </c>
      <c r="B188">
        <v>17858.199218999998</v>
      </c>
      <c r="C188">
        <v>3969.610107</v>
      </c>
      <c r="F188">
        <f t="shared" si="4"/>
        <v>-2.0976741216494881E-3</v>
      </c>
      <c r="G188">
        <f t="shared" si="5"/>
        <v>1.2767571086017589E-2</v>
      </c>
    </row>
    <row r="189" spans="1:7" x14ac:dyDescent="0.35">
      <c r="A189" s="2">
        <v>44939</v>
      </c>
      <c r="B189">
        <v>17956.599609000001</v>
      </c>
      <c r="C189">
        <v>3983.169922</v>
      </c>
      <c r="F189">
        <f t="shared" si="4"/>
        <v>5.4949708398477461E-3</v>
      </c>
      <c r="G189">
        <f t="shared" si="5"/>
        <v>3.4100850497009007E-3</v>
      </c>
    </row>
    <row r="190" spans="1:7" x14ac:dyDescent="0.35">
      <c r="A190" s="2">
        <v>44942</v>
      </c>
      <c r="B190">
        <v>17894.849609000001</v>
      </c>
      <c r="C190">
        <v>3999.0900879999999</v>
      </c>
      <c r="F190">
        <f t="shared" si="4"/>
        <v>-3.4447734978497288E-3</v>
      </c>
      <c r="G190">
        <f t="shared" si="5"/>
        <v>3.9888921406240714E-3</v>
      </c>
    </row>
    <row r="191" spans="1:7" x14ac:dyDescent="0.35">
      <c r="A191" s="2">
        <v>44943</v>
      </c>
      <c r="B191">
        <v>18053.300781000002</v>
      </c>
      <c r="C191">
        <v>3990.969971</v>
      </c>
      <c r="F191">
        <f t="shared" si="4"/>
        <v>8.8155967105772986E-3</v>
      </c>
      <c r="G191">
        <f t="shared" si="5"/>
        <v>-2.0325553839595778E-3</v>
      </c>
    </row>
    <row r="192" spans="1:7" x14ac:dyDescent="0.35">
      <c r="A192" s="2">
        <v>44944</v>
      </c>
      <c r="B192">
        <v>18165.349609000001</v>
      </c>
      <c r="C192">
        <v>3928.860107</v>
      </c>
      <c r="F192">
        <f t="shared" si="4"/>
        <v>6.1873749718830036E-3</v>
      </c>
      <c r="G192">
        <f t="shared" si="5"/>
        <v>-1.5684967159509833E-2</v>
      </c>
    </row>
    <row r="193" spans="1:7" x14ac:dyDescent="0.35">
      <c r="A193" s="2">
        <v>44945</v>
      </c>
      <c r="B193">
        <v>18107.849609000001</v>
      </c>
      <c r="C193">
        <v>3898.8500979999999</v>
      </c>
      <c r="F193">
        <f t="shared" si="4"/>
        <v>-3.1703874707698847E-3</v>
      </c>
      <c r="G193">
        <f t="shared" si="5"/>
        <v>-7.6676717062670085E-3</v>
      </c>
    </row>
    <row r="194" spans="1:7" x14ac:dyDescent="0.35">
      <c r="A194" s="2">
        <v>44946</v>
      </c>
      <c r="B194">
        <v>18027.650390999999</v>
      </c>
      <c r="C194">
        <v>3972.610107</v>
      </c>
      <c r="F194">
        <f t="shared" si="4"/>
        <v>-4.4388122306735769E-3</v>
      </c>
      <c r="G194">
        <f t="shared" si="5"/>
        <v>1.8741673357988969E-2</v>
      </c>
    </row>
    <row r="195" spans="1:7" x14ac:dyDescent="0.35">
      <c r="A195" s="2">
        <v>44949</v>
      </c>
      <c r="B195">
        <v>18118.550781000002</v>
      </c>
      <c r="C195">
        <v>4019.8100589999999</v>
      </c>
      <c r="F195">
        <f t="shared" si="4"/>
        <v>5.0296063584950573E-3</v>
      </c>
      <c r="G195">
        <f t="shared" si="5"/>
        <v>1.1811316158586514E-2</v>
      </c>
    </row>
    <row r="196" spans="1:7" x14ac:dyDescent="0.35">
      <c r="A196" s="2">
        <v>44950</v>
      </c>
      <c r="B196">
        <v>18118.300781000002</v>
      </c>
      <c r="C196">
        <v>4016.9499510000001</v>
      </c>
      <c r="F196">
        <f t="shared" ref="F196:F248" si="6">LN(B196/B195)</f>
        <v>-1.3798108236700089E-5</v>
      </c>
      <c r="G196">
        <f t="shared" ref="G196:G248" si="7">LN(C196/C195)</f>
        <v>-7.1175650814129393E-4</v>
      </c>
    </row>
    <row r="197" spans="1:7" x14ac:dyDescent="0.35">
      <c r="A197" s="2">
        <v>44951</v>
      </c>
      <c r="B197">
        <v>17891.949218999998</v>
      </c>
      <c r="C197">
        <v>4016.219971</v>
      </c>
      <c r="F197">
        <f t="shared" si="6"/>
        <v>-1.2571672963865974E-2</v>
      </c>
      <c r="G197">
        <f t="shared" si="7"/>
        <v>-1.8174145675923769E-4</v>
      </c>
    </row>
    <row r="198" spans="1:7" x14ac:dyDescent="0.35">
      <c r="A198" s="2">
        <v>44953</v>
      </c>
      <c r="B198">
        <v>17604.349609000001</v>
      </c>
      <c r="C198">
        <v>4060.429932</v>
      </c>
      <c r="F198">
        <f t="shared" si="6"/>
        <v>-1.6204838984913074E-2</v>
      </c>
      <c r="G198">
        <f t="shared" si="7"/>
        <v>1.0947708043701926E-2</v>
      </c>
    </row>
    <row r="199" spans="1:7" x14ac:dyDescent="0.35">
      <c r="A199" s="2">
        <v>44956</v>
      </c>
      <c r="B199">
        <v>17648.949218999998</v>
      </c>
      <c r="C199">
        <v>4070.5600589999999</v>
      </c>
      <c r="F199">
        <f t="shared" si="6"/>
        <v>2.5302388869699981E-3</v>
      </c>
      <c r="G199">
        <f t="shared" si="7"/>
        <v>2.491734032999062E-3</v>
      </c>
    </row>
    <row r="200" spans="1:7" x14ac:dyDescent="0.35">
      <c r="A200" s="2">
        <v>44957</v>
      </c>
      <c r="B200">
        <v>17662.150390999999</v>
      </c>
      <c r="C200">
        <v>4017.7700199999999</v>
      </c>
      <c r="F200">
        <f t="shared" si="6"/>
        <v>7.4770668491387746E-4</v>
      </c>
      <c r="G200">
        <f t="shared" si="7"/>
        <v>-1.3053569298425457E-2</v>
      </c>
    </row>
    <row r="201" spans="1:7" x14ac:dyDescent="0.35">
      <c r="A201" s="2">
        <v>44958</v>
      </c>
      <c r="B201">
        <v>17616.300781000002</v>
      </c>
      <c r="C201">
        <v>4076.6000979999999</v>
      </c>
      <c r="F201">
        <f t="shared" si="6"/>
        <v>-2.5992998156953947E-3</v>
      </c>
      <c r="G201">
        <f t="shared" si="7"/>
        <v>1.4536304384073188E-2</v>
      </c>
    </row>
    <row r="202" spans="1:7" x14ac:dyDescent="0.35">
      <c r="A202" s="2">
        <v>44959</v>
      </c>
      <c r="B202">
        <v>17610.400390999999</v>
      </c>
      <c r="C202">
        <v>4119.2099609999996</v>
      </c>
      <c r="F202">
        <f t="shared" si="6"/>
        <v>-3.3499532223429419E-4</v>
      </c>
      <c r="G202">
        <f t="shared" si="7"/>
        <v>1.0398056227734952E-2</v>
      </c>
    </row>
    <row r="203" spans="1:7" x14ac:dyDescent="0.35">
      <c r="A203" s="2">
        <v>44960</v>
      </c>
      <c r="B203">
        <v>17854.050781000002</v>
      </c>
      <c r="C203">
        <v>4179.7597660000001</v>
      </c>
      <c r="F203">
        <f t="shared" si="6"/>
        <v>1.3740758169937702E-2</v>
      </c>
      <c r="G203">
        <f t="shared" si="7"/>
        <v>1.4592384701399877E-2</v>
      </c>
    </row>
    <row r="204" spans="1:7" x14ac:dyDescent="0.35">
      <c r="A204" s="2">
        <v>44963</v>
      </c>
      <c r="B204">
        <v>17764.599609000001</v>
      </c>
      <c r="C204">
        <v>4136.4799800000001</v>
      </c>
      <c r="F204">
        <f t="shared" si="6"/>
        <v>-5.0227259637859014E-3</v>
      </c>
      <c r="G204">
        <f t="shared" si="7"/>
        <v>-1.0408592840324556E-2</v>
      </c>
    </row>
    <row r="205" spans="1:7" x14ac:dyDescent="0.35">
      <c r="A205" s="2">
        <v>44964</v>
      </c>
      <c r="B205">
        <v>17721.5</v>
      </c>
      <c r="C205">
        <v>4111.080078</v>
      </c>
      <c r="F205">
        <f t="shared" si="6"/>
        <v>-2.4290993187421647E-3</v>
      </c>
      <c r="G205">
        <f t="shared" si="7"/>
        <v>-6.1593931110240424E-3</v>
      </c>
    </row>
    <row r="206" spans="1:7" x14ac:dyDescent="0.35">
      <c r="A206" s="2">
        <v>44965</v>
      </c>
      <c r="B206">
        <v>17871.699218999998</v>
      </c>
      <c r="C206">
        <v>4164</v>
      </c>
      <c r="F206">
        <f t="shared" si="6"/>
        <v>8.4398207443785785E-3</v>
      </c>
      <c r="G206">
        <f t="shared" si="7"/>
        <v>1.2790364067802819E-2</v>
      </c>
    </row>
    <row r="207" spans="1:7" x14ac:dyDescent="0.35">
      <c r="A207" s="2">
        <v>44966</v>
      </c>
      <c r="B207">
        <v>17893.449218999998</v>
      </c>
      <c r="C207">
        <v>4117.8598629999997</v>
      </c>
      <c r="F207">
        <f t="shared" si="6"/>
        <v>1.2162679944667117E-3</v>
      </c>
      <c r="G207">
        <f t="shared" si="7"/>
        <v>-1.1142573080711473E-2</v>
      </c>
    </row>
    <row r="208" spans="1:7" x14ac:dyDescent="0.35">
      <c r="A208" s="2">
        <v>44967</v>
      </c>
      <c r="B208">
        <v>17856.5</v>
      </c>
      <c r="C208">
        <v>4081.5</v>
      </c>
      <c r="F208">
        <f t="shared" si="6"/>
        <v>-2.0670928470560455E-3</v>
      </c>
      <c r="G208">
        <f t="shared" si="7"/>
        <v>-8.8690097627373513E-3</v>
      </c>
    </row>
    <row r="209" spans="1:7" x14ac:dyDescent="0.35">
      <c r="A209" s="2">
        <v>44970</v>
      </c>
      <c r="B209">
        <v>17770.900390999999</v>
      </c>
      <c r="C209">
        <v>4090.459961</v>
      </c>
      <c r="F209">
        <f t="shared" si="6"/>
        <v>-4.8052775545427331E-3</v>
      </c>
      <c r="G209">
        <f t="shared" si="7"/>
        <v>2.1928557244964473E-3</v>
      </c>
    </row>
    <row r="210" spans="1:7" x14ac:dyDescent="0.35">
      <c r="A210" s="2">
        <v>44971</v>
      </c>
      <c r="B210">
        <v>17929.849609000001</v>
      </c>
      <c r="C210">
        <v>4137.2900390000004</v>
      </c>
      <c r="F210">
        <f t="shared" si="6"/>
        <v>8.9045898631464962E-3</v>
      </c>
      <c r="G210">
        <f t="shared" si="7"/>
        <v>1.1383569920769382E-2</v>
      </c>
    </row>
    <row r="211" spans="1:7" x14ac:dyDescent="0.35">
      <c r="A211" s="2">
        <v>44972</v>
      </c>
      <c r="B211">
        <v>18015.849609000001</v>
      </c>
      <c r="C211">
        <v>4136.1298829999996</v>
      </c>
      <c r="F211">
        <f t="shared" si="6"/>
        <v>4.7850043794271328E-3</v>
      </c>
      <c r="G211">
        <f t="shared" si="7"/>
        <v>-2.8045379505514694E-4</v>
      </c>
    </row>
    <row r="212" spans="1:7" x14ac:dyDescent="0.35">
      <c r="A212" s="2">
        <v>44973</v>
      </c>
      <c r="B212">
        <v>18035.849609000001</v>
      </c>
      <c r="C212">
        <v>4147.6000979999999</v>
      </c>
      <c r="F212">
        <f t="shared" si="6"/>
        <v>1.109517858272377E-3</v>
      </c>
      <c r="G212">
        <f t="shared" si="7"/>
        <v>2.7693375706237793E-3</v>
      </c>
    </row>
    <row r="213" spans="1:7" x14ac:dyDescent="0.35">
      <c r="A213" s="2">
        <v>44974</v>
      </c>
      <c r="B213">
        <v>17944.199218999998</v>
      </c>
      <c r="C213">
        <v>4090.4099120000001</v>
      </c>
      <c r="F213">
        <f t="shared" si="6"/>
        <v>-5.0945227264031952E-3</v>
      </c>
      <c r="G213">
        <f t="shared" si="7"/>
        <v>-1.3884689314500187E-2</v>
      </c>
    </row>
    <row r="214" spans="1:7" x14ac:dyDescent="0.35">
      <c r="A214" s="2">
        <v>44977</v>
      </c>
      <c r="B214">
        <v>17844.599609000001</v>
      </c>
      <c r="C214">
        <v>4079.0900879999999</v>
      </c>
      <c r="F214">
        <f t="shared" si="6"/>
        <v>-5.5659798817293627E-3</v>
      </c>
      <c r="G214">
        <f t="shared" si="7"/>
        <v>-2.7712421187298065E-3</v>
      </c>
    </row>
    <row r="215" spans="1:7" x14ac:dyDescent="0.35">
      <c r="A215" s="2">
        <v>44978</v>
      </c>
      <c r="B215">
        <v>17826.699218999998</v>
      </c>
      <c r="C215">
        <v>3997.3400879999999</v>
      </c>
      <c r="F215">
        <f t="shared" si="6"/>
        <v>-1.0036299260570026E-3</v>
      </c>
      <c r="G215">
        <f t="shared" si="7"/>
        <v>-2.0244783972923362E-2</v>
      </c>
    </row>
    <row r="216" spans="1:7" x14ac:dyDescent="0.35">
      <c r="A216" s="2">
        <v>44979</v>
      </c>
      <c r="B216">
        <v>17554.300781000002</v>
      </c>
      <c r="C216">
        <v>3991.0500489999999</v>
      </c>
      <c r="F216">
        <f t="shared" si="6"/>
        <v>-1.5398310974762111E-2</v>
      </c>
      <c r="G216">
        <f t="shared" si="7"/>
        <v>-1.5747954699402154E-3</v>
      </c>
    </row>
    <row r="217" spans="1:7" x14ac:dyDescent="0.35">
      <c r="A217" s="2">
        <v>44980</v>
      </c>
      <c r="B217">
        <v>17511.25</v>
      </c>
      <c r="C217">
        <v>4012.320068</v>
      </c>
      <c r="F217">
        <f t="shared" si="6"/>
        <v>-2.4554471081371073E-3</v>
      </c>
      <c r="G217">
        <f t="shared" si="7"/>
        <v>5.3152781306048027E-3</v>
      </c>
    </row>
    <row r="218" spans="1:7" x14ac:dyDescent="0.35">
      <c r="A218" s="2">
        <v>44981</v>
      </c>
      <c r="B218">
        <v>17465.800781000002</v>
      </c>
      <c r="C218">
        <v>3970.040039</v>
      </c>
      <c r="F218">
        <f t="shared" si="6"/>
        <v>-2.5988037049817754E-3</v>
      </c>
      <c r="G218">
        <f t="shared" si="7"/>
        <v>-1.0593464545949238E-2</v>
      </c>
    </row>
    <row r="219" spans="1:7" x14ac:dyDescent="0.35">
      <c r="A219" s="2">
        <v>44984</v>
      </c>
      <c r="B219">
        <v>17392.699218999998</v>
      </c>
      <c r="C219">
        <v>3982.23999</v>
      </c>
      <c r="F219">
        <f t="shared" si="6"/>
        <v>-4.1941947681290136E-3</v>
      </c>
      <c r="G219">
        <f t="shared" si="7"/>
        <v>3.068292496440242E-3</v>
      </c>
    </row>
    <row r="220" spans="1:7" x14ac:dyDescent="0.35">
      <c r="A220" s="2">
        <v>44985</v>
      </c>
      <c r="B220">
        <v>17303.949218999998</v>
      </c>
      <c r="C220">
        <v>3970.1499020000001</v>
      </c>
      <c r="F220">
        <f t="shared" si="6"/>
        <v>-5.1157790480139652E-3</v>
      </c>
      <c r="G220">
        <f t="shared" si="7"/>
        <v>-3.040619858676227E-3</v>
      </c>
    </row>
    <row r="221" spans="1:7" x14ac:dyDescent="0.35">
      <c r="A221" s="2">
        <v>44986</v>
      </c>
      <c r="B221">
        <v>17450.900390999999</v>
      </c>
      <c r="C221">
        <v>3951.389893</v>
      </c>
      <c r="F221">
        <f t="shared" si="6"/>
        <v>8.4564916483347019E-3</v>
      </c>
      <c r="G221">
        <f t="shared" si="7"/>
        <v>-4.7364640101430254E-3</v>
      </c>
    </row>
    <row r="222" spans="1:7" x14ac:dyDescent="0.35">
      <c r="A222" s="2">
        <v>44987</v>
      </c>
      <c r="B222">
        <v>17321.900390999999</v>
      </c>
      <c r="C222">
        <v>3981.3500979999999</v>
      </c>
      <c r="F222">
        <f t="shared" si="6"/>
        <v>-7.419626196052782E-3</v>
      </c>
      <c r="G222">
        <f t="shared" si="7"/>
        <v>7.5535937107697564E-3</v>
      </c>
    </row>
    <row r="223" spans="1:7" x14ac:dyDescent="0.35">
      <c r="A223" s="2">
        <v>44988</v>
      </c>
      <c r="B223">
        <v>17594.349609000001</v>
      </c>
      <c r="C223">
        <v>4045.639893</v>
      </c>
      <c r="F223">
        <f t="shared" si="6"/>
        <v>1.5606186095620072E-2</v>
      </c>
      <c r="G223">
        <f t="shared" si="7"/>
        <v>1.6018749194422137E-2</v>
      </c>
    </row>
    <row r="224" spans="1:7" x14ac:dyDescent="0.35">
      <c r="A224" s="2">
        <v>44991</v>
      </c>
      <c r="B224">
        <v>17711.449218999998</v>
      </c>
      <c r="C224">
        <v>4048.419922</v>
      </c>
      <c r="F224">
        <f t="shared" si="6"/>
        <v>6.6334734395546583E-3</v>
      </c>
      <c r="G224">
        <f t="shared" si="7"/>
        <v>6.8693070544571951E-4</v>
      </c>
    </row>
    <row r="225" spans="1:7" x14ac:dyDescent="0.35">
      <c r="A225" s="2">
        <v>44993</v>
      </c>
      <c r="B225">
        <v>17754.400390999999</v>
      </c>
      <c r="C225">
        <v>3986.3701169999999</v>
      </c>
      <c r="F225">
        <f t="shared" si="6"/>
        <v>2.4221155545733016E-3</v>
      </c>
      <c r="G225">
        <f t="shared" si="7"/>
        <v>-1.5445590557174101E-2</v>
      </c>
    </row>
    <row r="226" spans="1:7" x14ac:dyDescent="0.35">
      <c r="A226" s="2">
        <v>44994</v>
      </c>
      <c r="B226">
        <v>17589.599609000001</v>
      </c>
      <c r="C226">
        <v>3992.01001</v>
      </c>
      <c r="F226">
        <f t="shared" si="6"/>
        <v>-9.3255984805234258E-3</v>
      </c>
      <c r="G226">
        <f t="shared" si="7"/>
        <v>1.4137942413493998E-3</v>
      </c>
    </row>
    <row r="227" spans="1:7" x14ac:dyDescent="0.35">
      <c r="A227" s="2">
        <v>44995</v>
      </c>
      <c r="B227">
        <v>17412.900390999999</v>
      </c>
      <c r="C227">
        <v>3918.320068</v>
      </c>
      <c r="F227">
        <f t="shared" si="6"/>
        <v>-1.0096462769008498E-2</v>
      </c>
      <c r="G227">
        <f t="shared" si="7"/>
        <v>-1.8631858095910045E-2</v>
      </c>
    </row>
    <row r="228" spans="1:7" x14ac:dyDescent="0.35">
      <c r="A228" s="2">
        <v>44998</v>
      </c>
      <c r="B228">
        <v>17154.300781000002</v>
      </c>
      <c r="C228">
        <v>3861.5900879999999</v>
      </c>
      <c r="F228">
        <f t="shared" si="6"/>
        <v>-1.4962416723923002E-2</v>
      </c>
      <c r="G228">
        <f t="shared" si="7"/>
        <v>-1.4583969316026199E-2</v>
      </c>
    </row>
    <row r="229" spans="1:7" x14ac:dyDescent="0.35">
      <c r="A229" s="2">
        <v>44999</v>
      </c>
      <c r="B229">
        <v>17043.300781000002</v>
      </c>
      <c r="C229">
        <v>3855.76001</v>
      </c>
      <c r="F229">
        <f t="shared" si="6"/>
        <v>-6.49170612823713E-3</v>
      </c>
      <c r="G229">
        <f t="shared" si="7"/>
        <v>-1.5109018082769081E-3</v>
      </c>
    </row>
    <row r="230" spans="1:7" x14ac:dyDescent="0.35">
      <c r="A230" s="2">
        <v>45000</v>
      </c>
      <c r="B230">
        <v>16972.150390999999</v>
      </c>
      <c r="C230">
        <v>3919.290039</v>
      </c>
      <c r="F230">
        <f t="shared" si="6"/>
        <v>-4.1834220223762311E-3</v>
      </c>
      <c r="G230">
        <f t="shared" si="7"/>
        <v>1.6342388158631021E-2</v>
      </c>
    </row>
    <row r="231" spans="1:7" x14ac:dyDescent="0.35">
      <c r="A231" s="2">
        <v>45001</v>
      </c>
      <c r="B231">
        <v>16985.599609000001</v>
      </c>
      <c r="C231">
        <v>3891.929932</v>
      </c>
      <c r="F231">
        <f t="shared" si="6"/>
        <v>7.9211483111952261E-4</v>
      </c>
      <c r="G231">
        <f t="shared" si="7"/>
        <v>-7.0053638210683519E-3</v>
      </c>
    </row>
    <row r="232" spans="1:7" x14ac:dyDescent="0.35">
      <c r="A232" s="2">
        <v>45002</v>
      </c>
      <c r="B232">
        <v>17100.050781000002</v>
      </c>
      <c r="C232">
        <v>3960.280029</v>
      </c>
      <c r="F232">
        <f t="shared" si="6"/>
        <v>6.7155298971847089E-3</v>
      </c>
      <c r="G232">
        <f t="shared" si="7"/>
        <v>1.7409576081730271E-2</v>
      </c>
    </row>
    <row r="233" spans="1:7" x14ac:dyDescent="0.35">
      <c r="A233" s="2">
        <v>45005</v>
      </c>
      <c r="B233">
        <v>16988.400390999999</v>
      </c>
      <c r="C233">
        <v>3916.639893</v>
      </c>
      <c r="F233">
        <f t="shared" si="6"/>
        <v>-6.5506519313084082E-3</v>
      </c>
      <c r="G233">
        <f t="shared" si="7"/>
        <v>-1.1080621091276999E-2</v>
      </c>
    </row>
    <row r="234" spans="1:7" x14ac:dyDescent="0.35">
      <c r="A234" s="2">
        <v>45006</v>
      </c>
      <c r="B234">
        <v>17107.5</v>
      </c>
      <c r="C234">
        <v>3951.570068</v>
      </c>
      <c r="F234">
        <f t="shared" si="6"/>
        <v>6.9861826224965002E-3</v>
      </c>
      <c r="G234">
        <f t="shared" si="7"/>
        <v>8.8788694372824526E-3</v>
      </c>
    </row>
    <row r="235" spans="1:7" x14ac:dyDescent="0.35">
      <c r="A235" s="2">
        <v>45007</v>
      </c>
      <c r="B235">
        <v>17151.900390999999</v>
      </c>
      <c r="C235">
        <v>4002.8701169999999</v>
      </c>
      <c r="F235">
        <f t="shared" si="6"/>
        <v>2.5920135993073913E-3</v>
      </c>
      <c r="G235">
        <f t="shared" si="7"/>
        <v>1.2898647562662584E-2</v>
      </c>
    </row>
    <row r="236" spans="1:7" x14ac:dyDescent="0.35">
      <c r="A236" s="2">
        <v>45008</v>
      </c>
      <c r="B236">
        <v>17076.900390999999</v>
      </c>
      <c r="C236">
        <v>3936.969971</v>
      </c>
      <c r="F236">
        <f t="shared" si="6"/>
        <v>-4.3822814889177605E-3</v>
      </c>
      <c r="G236">
        <f t="shared" si="7"/>
        <v>-1.6600248517594576E-2</v>
      </c>
    </row>
    <row r="237" spans="1:7" x14ac:dyDescent="0.35">
      <c r="A237" s="2">
        <v>45009</v>
      </c>
      <c r="B237">
        <v>16945.050781000002</v>
      </c>
      <c r="C237">
        <v>3948.719971</v>
      </c>
      <c r="F237">
        <f t="shared" si="6"/>
        <v>-7.7508940871617105E-3</v>
      </c>
      <c r="G237">
        <f t="shared" si="7"/>
        <v>2.9800838689581612E-3</v>
      </c>
    </row>
    <row r="238" spans="1:7" x14ac:dyDescent="0.35">
      <c r="A238" s="2">
        <v>45012</v>
      </c>
      <c r="B238">
        <v>16985.699218999998</v>
      </c>
      <c r="C238">
        <v>3970.98999</v>
      </c>
      <c r="F238">
        <f t="shared" si="6"/>
        <v>2.3959657505776737E-3</v>
      </c>
      <c r="G238">
        <f t="shared" si="7"/>
        <v>5.623962950098719E-3</v>
      </c>
    </row>
    <row r="239" spans="1:7" x14ac:dyDescent="0.35">
      <c r="A239" s="2">
        <v>45013</v>
      </c>
      <c r="B239">
        <v>16951.699218999998</v>
      </c>
      <c r="C239">
        <v>3977.530029</v>
      </c>
      <c r="F239">
        <f t="shared" si="6"/>
        <v>-2.0036899078934313E-3</v>
      </c>
      <c r="G239">
        <f t="shared" si="7"/>
        <v>1.6455995481508702E-3</v>
      </c>
    </row>
    <row r="240" spans="1:7" x14ac:dyDescent="0.35">
      <c r="A240" s="2">
        <v>45014</v>
      </c>
      <c r="B240">
        <v>17080.699218999998</v>
      </c>
      <c r="C240">
        <v>3971.2700199999999</v>
      </c>
      <c r="F240">
        <f t="shared" si="6"/>
        <v>7.5810476926259866E-3</v>
      </c>
      <c r="G240">
        <f t="shared" si="7"/>
        <v>-1.5750830957146403E-3</v>
      </c>
    </row>
    <row r="241" spans="1:7" x14ac:dyDescent="0.35">
      <c r="A241" s="2">
        <v>45016</v>
      </c>
      <c r="B241">
        <v>17359.75</v>
      </c>
      <c r="C241">
        <v>4027.8100589999999</v>
      </c>
      <c r="F241">
        <f t="shared" si="6"/>
        <v>1.6205182803797315E-2</v>
      </c>
      <c r="G241">
        <f t="shared" si="7"/>
        <v>1.4136870757872802E-2</v>
      </c>
    </row>
    <row r="242" spans="1:7" x14ac:dyDescent="0.35">
      <c r="A242" s="2">
        <v>45019</v>
      </c>
      <c r="B242">
        <v>17398.050781000002</v>
      </c>
      <c r="C242">
        <v>4050.830078</v>
      </c>
      <c r="F242">
        <f t="shared" si="6"/>
        <v>2.2038676580067545E-3</v>
      </c>
      <c r="G242">
        <f t="shared" si="7"/>
        <v>5.6989990677636503E-3</v>
      </c>
    </row>
    <row r="243" spans="1:7" x14ac:dyDescent="0.35">
      <c r="A243" s="2">
        <v>45021</v>
      </c>
      <c r="B243">
        <v>17557.050781000002</v>
      </c>
      <c r="C243">
        <v>4109.3100590000004</v>
      </c>
      <c r="F243">
        <f t="shared" si="6"/>
        <v>9.0974472686603802E-3</v>
      </c>
      <c r="G243">
        <f t="shared" si="7"/>
        <v>1.4333327911755489E-2</v>
      </c>
    </row>
    <row r="244" spans="1:7" x14ac:dyDescent="0.35">
      <c r="A244" s="2">
        <v>45022</v>
      </c>
      <c r="B244">
        <v>17599.150390999999</v>
      </c>
      <c r="C244">
        <v>4124.5097660000001</v>
      </c>
      <c r="F244">
        <f t="shared" si="6"/>
        <v>2.3950045067611548E-3</v>
      </c>
      <c r="G244">
        <f t="shared" si="7"/>
        <v>3.6920225578619039E-3</v>
      </c>
    </row>
    <row r="245" spans="1:7" x14ac:dyDescent="0.35">
      <c r="A245" s="2">
        <v>45026</v>
      </c>
      <c r="B245">
        <v>17624.050781000002</v>
      </c>
      <c r="C245">
        <v>4100.6000979999999</v>
      </c>
      <c r="F245">
        <f t="shared" si="6"/>
        <v>1.4138632105820228E-3</v>
      </c>
      <c r="G245">
        <f t="shared" si="7"/>
        <v>-5.8138397522533285E-3</v>
      </c>
    </row>
    <row r="246" spans="1:7" x14ac:dyDescent="0.35">
      <c r="A246" s="2">
        <v>45027</v>
      </c>
      <c r="B246">
        <v>17722.300781000002</v>
      </c>
      <c r="C246">
        <v>4090.3798830000001</v>
      </c>
      <c r="F246">
        <f t="shared" si="6"/>
        <v>5.5592868116928441E-3</v>
      </c>
      <c r="G246">
        <f t="shared" si="7"/>
        <v>-2.4954816951113508E-3</v>
      </c>
    </row>
    <row r="247" spans="1:7" x14ac:dyDescent="0.35">
      <c r="A247" s="2">
        <v>45028</v>
      </c>
      <c r="B247">
        <v>17812.400390999999</v>
      </c>
      <c r="C247">
        <v>4105.0200199999999</v>
      </c>
      <c r="F247">
        <f t="shared" si="6"/>
        <v>5.0710882664685994E-3</v>
      </c>
      <c r="G247">
        <f t="shared" si="7"/>
        <v>3.5727732011532963E-3</v>
      </c>
    </row>
    <row r="248" spans="1:7" x14ac:dyDescent="0.35">
      <c r="A248" s="2">
        <v>45029</v>
      </c>
      <c r="B248">
        <v>17828</v>
      </c>
      <c r="C248">
        <v>4109.1098629999997</v>
      </c>
      <c r="F248">
        <f t="shared" si="6"/>
        <v>8.7538915528645065E-4</v>
      </c>
      <c r="G248">
        <f t="shared" si="7"/>
        <v>9.9580683437494946E-4</v>
      </c>
    </row>
    <row r="251" spans="1:7" x14ac:dyDescent="0.35">
      <c r="E251" t="s">
        <v>3</v>
      </c>
      <c r="F251">
        <f>AVERAGE(F3:F248)</f>
        <v>1.520081297475436E-4</v>
      </c>
      <c r="G251">
        <f>AVERAGE(G3:G248)</f>
        <v>-2.7118930129826896E-4</v>
      </c>
    </row>
    <row r="254" spans="1:7" ht="15" thickBot="1" x14ac:dyDescent="0.4">
      <c r="E254" t="s">
        <v>4</v>
      </c>
      <c r="F254">
        <f>(1+F251)^252-1</f>
        <v>3.9046159077065434E-2</v>
      </c>
      <c r="G254">
        <f>(1+G251)^252-1</f>
        <v>-6.6065500381990994E-2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D4DF1-F263-4441-9D12-0588424B44BE}">
  <dimension ref="A1:L254"/>
  <sheetViews>
    <sheetView workbookViewId="0">
      <selection activeCell="K10" sqref="K10"/>
    </sheetView>
  </sheetViews>
  <sheetFormatPr defaultRowHeight="14.5" x14ac:dyDescent="0.35"/>
  <cols>
    <col min="1" max="1" width="12.26953125" customWidth="1"/>
    <col min="2" max="2" width="18.453125" customWidth="1"/>
    <col min="3" max="3" width="17.453125" customWidth="1"/>
    <col min="6" max="6" width="21.26953125" customWidth="1"/>
    <col min="7" max="7" width="17.81640625" customWidth="1"/>
    <col min="11" max="11" width="12" bestFit="1" customWidth="1"/>
  </cols>
  <sheetData>
    <row r="1" spans="1:12" x14ac:dyDescent="0.35">
      <c r="A1" t="s">
        <v>0</v>
      </c>
      <c r="B1" t="s">
        <v>1</v>
      </c>
      <c r="C1" t="s">
        <v>2</v>
      </c>
      <c r="F1" t="s">
        <v>5</v>
      </c>
      <c r="G1" t="s">
        <v>6</v>
      </c>
    </row>
    <row r="2" spans="1:12" x14ac:dyDescent="0.35">
      <c r="A2" s="2">
        <v>44669</v>
      </c>
      <c r="B2">
        <v>17173.650390999999</v>
      </c>
      <c r="C2">
        <v>4392.5898440000001</v>
      </c>
      <c r="F2" t="s">
        <v>7</v>
      </c>
      <c r="G2" t="s">
        <v>7</v>
      </c>
    </row>
    <row r="3" spans="1:12" x14ac:dyDescent="0.35">
      <c r="A3" s="2">
        <v>44670</v>
      </c>
      <c r="B3">
        <v>16958.650390999999</v>
      </c>
      <c r="C3">
        <v>4391.6899409999996</v>
      </c>
      <c r="F3">
        <f>LN(B3/B2)</f>
        <v>-1.2598203971354494E-2</v>
      </c>
      <c r="G3">
        <f>LN(C3/C2)</f>
        <v>-2.0488942182495337E-4</v>
      </c>
    </row>
    <row r="4" spans="1:12" x14ac:dyDescent="0.35">
      <c r="A4" s="2">
        <v>44671</v>
      </c>
      <c r="B4">
        <v>17136.550781000002</v>
      </c>
      <c r="C4">
        <v>4462.2099609999996</v>
      </c>
      <c r="F4">
        <f t="shared" ref="F4:G67" si="0">LN(B4/B3)</f>
        <v>1.0435603742163818E-2</v>
      </c>
      <c r="G4">
        <f t="shared" si="0"/>
        <v>1.5930044855897333E-2</v>
      </c>
    </row>
    <row r="5" spans="1:12" x14ac:dyDescent="0.35">
      <c r="A5" s="2">
        <v>44672</v>
      </c>
      <c r="B5">
        <v>17392.599609000001</v>
      </c>
      <c r="C5">
        <v>4459.4501950000003</v>
      </c>
      <c r="F5">
        <f t="shared" si="0"/>
        <v>1.4831150985795696E-2</v>
      </c>
      <c r="G5">
        <f t="shared" si="0"/>
        <v>-6.1866649026480578E-4</v>
      </c>
    </row>
    <row r="6" spans="1:12" x14ac:dyDescent="0.35">
      <c r="A6" s="2">
        <v>44673</v>
      </c>
      <c r="B6">
        <v>17171.949218999998</v>
      </c>
      <c r="C6">
        <v>4393.6601559999999</v>
      </c>
      <c r="F6">
        <f t="shared" si="0"/>
        <v>-1.2767612762841947E-2</v>
      </c>
      <c r="G6">
        <f t="shared" si="0"/>
        <v>-1.4862855538135404E-2</v>
      </c>
      <c r="J6" t="s">
        <v>8</v>
      </c>
      <c r="K6" t="s">
        <v>9</v>
      </c>
      <c r="L6" t="s">
        <v>10</v>
      </c>
    </row>
    <row r="7" spans="1:12" x14ac:dyDescent="0.35">
      <c r="A7" s="2">
        <v>44676</v>
      </c>
      <c r="B7">
        <v>16953.949218999998</v>
      </c>
      <c r="C7">
        <v>4271.7797849999997</v>
      </c>
      <c r="F7">
        <f t="shared" si="0"/>
        <v>-1.2776394200816107E-2</v>
      </c>
      <c r="G7">
        <f t="shared" si="0"/>
        <v>-2.8132076357044129E-2</v>
      </c>
      <c r="J7">
        <v>3.9046159077065434E-2</v>
      </c>
      <c r="K7">
        <v>1</v>
      </c>
      <c r="L7">
        <f>K7*J7</f>
        <v>3.9046159077065434E-2</v>
      </c>
    </row>
    <row r="8" spans="1:12" x14ac:dyDescent="0.35">
      <c r="A8" s="2">
        <v>44677</v>
      </c>
      <c r="B8">
        <v>17200.800781000002</v>
      </c>
      <c r="C8">
        <v>4296.1201170000004</v>
      </c>
      <c r="F8">
        <f t="shared" si="0"/>
        <v>1.4455140811184453E-2</v>
      </c>
      <c r="G8">
        <f t="shared" si="0"/>
        <v>5.6817651370450924E-3</v>
      </c>
      <c r="J8">
        <v>-6.6065500381990994E-2</v>
      </c>
      <c r="K8">
        <v>0</v>
      </c>
      <c r="L8">
        <f>K8*J8</f>
        <v>0</v>
      </c>
    </row>
    <row r="9" spans="1:12" x14ac:dyDescent="0.35">
      <c r="A9" s="2">
        <v>44678</v>
      </c>
      <c r="B9">
        <v>17038.400390999999</v>
      </c>
      <c r="C9">
        <v>4175.2001950000003</v>
      </c>
      <c r="F9">
        <f t="shared" si="0"/>
        <v>-9.4862965433999448E-3</v>
      </c>
      <c r="G9">
        <f t="shared" si="0"/>
        <v>-2.8550008959800515E-2</v>
      </c>
      <c r="K9">
        <f>SUM(K7:K8)</f>
        <v>1</v>
      </c>
    </row>
    <row r="10" spans="1:12" x14ac:dyDescent="0.35">
      <c r="A10" s="2">
        <v>44679</v>
      </c>
      <c r="B10">
        <v>17245.050781000002</v>
      </c>
      <c r="C10">
        <v>4183.9599609999996</v>
      </c>
      <c r="F10">
        <f t="shared" si="0"/>
        <v>1.2055547836939892E-2</v>
      </c>
      <c r="G10">
        <f t="shared" si="0"/>
        <v>2.0958491147491411E-3</v>
      </c>
    </row>
    <row r="11" spans="1:12" x14ac:dyDescent="0.35">
      <c r="A11" s="2">
        <v>44680</v>
      </c>
      <c r="B11">
        <v>17102.550781000002</v>
      </c>
      <c r="C11">
        <v>4287.5</v>
      </c>
      <c r="F11">
        <f t="shared" si="0"/>
        <v>-8.2975702004510245E-3</v>
      </c>
      <c r="G11">
        <f t="shared" si="0"/>
        <v>2.4445655325894308E-2</v>
      </c>
    </row>
    <row r="12" spans="1:12" x14ac:dyDescent="0.35">
      <c r="A12" s="2">
        <v>44683</v>
      </c>
      <c r="B12">
        <v>17069.099609000001</v>
      </c>
      <c r="C12">
        <v>4131.9301759999998</v>
      </c>
      <c r="F12">
        <f t="shared" si="0"/>
        <v>-1.9578324314679383E-3</v>
      </c>
      <c r="G12">
        <f t="shared" si="0"/>
        <v>-3.69591597317529E-2</v>
      </c>
      <c r="J12" t="s">
        <v>11</v>
      </c>
      <c r="K12">
        <f>SUM(L7:L8)</f>
        <v>3.9046159077065434E-2</v>
      </c>
    </row>
    <row r="13" spans="1:12" x14ac:dyDescent="0.35">
      <c r="A13" s="2">
        <v>44685</v>
      </c>
      <c r="B13">
        <v>16677.599609000001</v>
      </c>
      <c r="C13">
        <v>4155.3798829999996</v>
      </c>
      <c r="F13">
        <f t="shared" si="0"/>
        <v>-2.3203310190697407E-2</v>
      </c>
      <c r="G13">
        <f t="shared" si="0"/>
        <v>5.659199285999489E-3</v>
      </c>
      <c r="J13" t="s">
        <v>12</v>
      </c>
      <c r="K13">
        <v>7.0000000000000007E-2</v>
      </c>
    </row>
    <row r="14" spans="1:12" x14ac:dyDescent="0.35">
      <c r="A14" s="2">
        <v>44686</v>
      </c>
      <c r="B14">
        <v>16682.650390999999</v>
      </c>
      <c r="C14">
        <v>4175.4799800000001</v>
      </c>
      <c r="F14">
        <f t="shared" si="0"/>
        <v>3.028024093699254E-4</v>
      </c>
      <c r="G14">
        <f t="shared" si="0"/>
        <v>4.8254649179748695E-3</v>
      </c>
    </row>
    <row r="15" spans="1:12" x14ac:dyDescent="0.35">
      <c r="A15" s="2">
        <v>44687</v>
      </c>
      <c r="B15">
        <v>16411.25</v>
      </c>
      <c r="C15">
        <v>4300.169922</v>
      </c>
      <c r="F15">
        <f t="shared" si="0"/>
        <v>-1.6402205384656473E-2</v>
      </c>
      <c r="G15">
        <f t="shared" si="0"/>
        <v>2.942522169865713E-2</v>
      </c>
      <c r="J15" t="s">
        <v>13</v>
      </c>
      <c r="K15">
        <f t="array" ref="K15">SQRT(MMULT(TRANSPOSE(K7:K8),MMULT(K20:L21,K7:K8)))</f>
        <v>9.0806830496680709E-3</v>
      </c>
    </row>
    <row r="16" spans="1:12" x14ac:dyDescent="0.35">
      <c r="A16" s="2">
        <v>44690</v>
      </c>
      <c r="B16">
        <v>16301.849609000001</v>
      </c>
      <c r="C16">
        <v>4146.8701170000004</v>
      </c>
      <c r="F16">
        <f t="shared" si="0"/>
        <v>-6.688500946248681E-3</v>
      </c>
      <c r="G16">
        <f t="shared" si="0"/>
        <v>-3.6300677638382385E-2</v>
      </c>
      <c r="J16" t="s">
        <v>14</v>
      </c>
      <c r="K16">
        <f>SQRT(252)*K15</f>
        <v>0.14415137450412782</v>
      </c>
    </row>
    <row r="17" spans="1:12" x14ac:dyDescent="0.35">
      <c r="A17" s="2">
        <v>44691</v>
      </c>
      <c r="B17">
        <v>16240.049805000001</v>
      </c>
      <c r="C17">
        <v>4123.3398440000001</v>
      </c>
      <c r="F17">
        <f t="shared" si="0"/>
        <v>-3.7981727807602679E-3</v>
      </c>
      <c r="G17">
        <f t="shared" si="0"/>
        <v>-5.6903843081075904E-3</v>
      </c>
    </row>
    <row r="18" spans="1:12" ht="15" thickBot="1" x14ac:dyDescent="0.4">
      <c r="A18" s="2">
        <v>44692</v>
      </c>
      <c r="B18">
        <v>16167.099609000001</v>
      </c>
      <c r="C18">
        <v>3991.23999</v>
      </c>
      <c r="F18">
        <f t="shared" si="0"/>
        <v>-4.5021126842780639E-3</v>
      </c>
      <c r="G18">
        <f t="shared" si="0"/>
        <v>-3.2561519658957053E-2</v>
      </c>
    </row>
    <row r="19" spans="1:12" x14ac:dyDescent="0.35">
      <c r="A19" s="2">
        <v>44693</v>
      </c>
      <c r="B19">
        <v>15808</v>
      </c>
      <c r="C19">
        <v>4001.0500489999999</v>
      </c>
      <c r="F19">
        <f t="shared" si="0"/>
        <v>-2.2462147849384096E-2</v>
      </c>
      <c r="G19">
        <f t="shared" si="0"/>
        <v>2.4548818620889127E-3</v>
      </c>
      <c r="J19" s="4"/>
      <c r="K19" s="4" t="s">
        <v>15</v>
      </c>
      <c r="L19" s="4" t="s">
        <v>16</v>
      </c>
    </row>
    <row r="20" spans="1:12" x14ac:dyDescent="0.35">
      <c r="A20" s="2">
        <v>44694</v>
      </c>
      <c r="B20">
        <v>15782.150390999999</v>
      </c>
      <c r="C20">
        <v>3935.179932</v>
      </c>
      <c r="F20">
        <f t="shared" si="0"/>
        <v>-1.6365616782157996E-3</v>
      </c>
      <c r="G20">
        <f t="shared" si="0"/>
        <v>-1.6600232047331586E-2</v>
      </c>
      <c r="J20" t="s">
        <v>15</v>
      </c>
      <c r="K20">
        <f>VARP('OPTIMAL WEIGHTS INDICES'!$F$3:$F$248)</f>
        <v>8.2458804648529016E-5</v>
      </c>
      <c r="L20">
        <v>2.7043660870874482E-5</v>
      </c>
    </row>
    <row r="21" spans="1:12" ht="15" thickBot="1" x14ac:dyDescent="0.4">
      <c r="A21" s="2">
        <v>44697</v>
      </c>
      <c r="B21">
        <v>15842.299805000001</v>
      </c>
      <c r="C21">
        <v>3930.080078</v>
      </c>
      <c r="F21">
        <f t="shared" si="0"/>
        <v>3.8039862295736991E-3</v>
      </c>
      <c r="G21">
        <f t="shared" si="0"/>
        <v>-1.2968051172419798E-3</v>
      </c>
      <c r="J21" s="3" t="s">
        <v>16</v>
      </c>
      <c r="K21" s="3">
        <v>2.7043660870874482E-5</v>
      </c>
      <c r="L21" s="3">
        <f>VARP('OPTIMAL WEIGHTS INDICES'!$G$3:$G$248)</f>
        <v>2.1562764141485851E-4</v>
      </c>
    </row>
    <row r="22" spans="1:12" x14ac:dyDescent="0.35">
      <c r="A22" s="2">
        <v>44698</v>
      </c>
      <c r="B22">
        <v>16259.299805000001</v>
      </c>
      <c r="C22">
        <v>4023.889893</v>
      </c>
      <c r="F22">
        <f t="shared" si="0"/>
        <v>2.5981475212457642E-2</v>
      </c>
      <c r="G22">
        <f t="shared" si="0"/>
        <v>2.3589268093517989E-2</v>
      </c>
    </row>
    <row r="23" spans="1:12" x14ac:dyDescent="0.35">
      <c r="A23" s="2">
        <v>44699</v>
      </c>
      <c r="B23">
        <v>16240.299805000001</v>
      </c>
      <c r="C23">
        <v>4008.01001</v>
      </c>
      <c r="F23">
        <f t="shared" si="0"/>
        <v>-1.169245307181149E-3</v>
      </c>
      <c r="G23">
        <f t="shared" si="0"/>
        <v>-3.9542085640883826E-3</v>
      </c>
    </row>
    <row r="24" spans="1:12" x14ac:dyDescent="0.35">
      <c r="A24" s="2">
        <v>44700</v>
      </c>
      <c r="B24">
        <v>15809.400390999999</v>
      </c>
      <c r="C24">
        <v>4088.8500979999999</v>
      </c>
      <c r="F24">
        <f t="shared" si="0"/>
        <v>-2.6891070892926007E-2</v>
      </c>
      <c r="G24">
        <f t="shared" si="0"/>
        <v>1.996891960705599E-2</v>
      </c>
      <c r="J24" t="s">
        <v>17</v>
      </c>
      <c r="K24">
        <f>(K12-K13)/K16</f>
        <v>-0.21473150033715563</v>
      </c>
    </row>
    <row r="25" spans="1:12" x14ac:dyDescent="0.35">
      <c r="A25" s="2">
        <v>44701</v>
      </c>
      <c r="B25">
        <v>16266.150390999999</v>
      </c>
      <c r="C25">
        <v>3923.679932</v>
      </c>
      <c r="F25">
        <f t="shared" si="0"/>
        <v>2.8481560859905521E-2</v>
      </c>
      <c r="G25">
        <f t="shared" si="0"/>
        <v>-4.12338092837276E-2</v>
      </c>
    </row>
    <row r="26" spans="1:12" x14ac:dyDescent="0.35">
      <c r="A26" s="2">
        <v>44704</v>
      </c>
      <c r="B26">
        <v>16214.700194999999</v>
      </c>
      <c r="C26">
        <v>3900.790039</v>
      </c>
      <c r="F26">
        <f t="shared" si="0"/>
        <v>-3.1680352024770894E-3</v>
      </c>
      <c r="G26">
        <f t="shared" si="0"/>
        <v>-5.8508648849615805E-3</v>
      </c>
    </row>
    <row r="27" spans="1:12" x14ac:dyDescent="0.35">
      <c r="A27" s="2">
        <v>44705</v>
      </c>
      <c r="B27">
        <v>16125.150390999999</v>
      </c>
      <c r="C27">
        <v>3901.360107</v>
      </c>
      <c r="F27">
        <f t="shared" si="0"/>
        <v>-5.5380610146614911E-3</v>
      </c>
      <c r="G27">
        <f t="shared" si="0"/>
        <v>1.4613099987746166E-4</v>
      </c>
    </row>
    <row r="28" spans="1:12" x14ac:dyDescent="0.35">
      <c r="A28" s="2">
        <v>44706</v>
      </c>
      <c r="B28">
        <v>16025.799805000001</v>
      </c>
      <c r="C28">
        <v>3973.75</v>
      </c>
      <c r="F28">
        <f t="shared" si="0"/>
        <v>-6.1802778223144514E-3</v>
      </c>
      <c r="G28">
        <f t="shared" si="0"/>
        <v>1.8384995520196196E-2</v>
      </c>
    </row>
    <row r="29" spans="1:12" x14ac:dyDescent="0.35">
      <c r="A29" s="2">
        <v>44707</v>
      </c>
      <c r="B29">
        <v>16170.150390999999</v>
      </c>
      <c r="C29">
        <v>3941.4799800000001</v>
      </c>
      <c r="F29">
        <f t="shared" si="0"/>
        <v>8.9670627745213703E-3</v>
      </c>
      <c r="G29">
        <f t="shared" si="0"/>
        <v>-8.1539510224855061E-3</v>
      </c>
    </row>
    <row r="30" spans="1:12" x14ac:dyDescent="0.35">
      <c r="A30" s="2">
        <v>44708</v>
      </c>
      <c r="B30">
        <v>16352.450194999999</v>
      </c>
      <c r="C30">
        <v>3978.7299800000001</v>
      </c>
      <c r="F30">
        <f t="shared" si="0"/>
        <v>1.1210770972733472E-2</v>
      </c>
      <c r="G30">
        <f t="shared" si="0"/>
        <v>9.4063856500450523E-3</v>
      </c>
    </row>
    <row r="31" spans="1:12" x14ac:dyDescent="0.35">
      <c r="A31" s="2">
        <v>44711</v>
      </c>
      <c r="B31">
        <v>16661.400390999999</v>
      </c>
      <c r="C31">
        <v>4057.8400879999999</v>
      </c>
      <c r="F31">
        <f t="shared" si="0"/>
        <v>1.8716945152003409E-2</v>
      </c>
      <c r="G31">
        <f t="shared" si="0"/>
        <v>1.9688166152488747E-2</v>
      </c>
    </row>
    <row r="32" spans="1:12" x14ac:dyDescent="0.35">
      <c r="A32" s="2">
        <v>44712</v>
      </c>
      <c r="B32">
        <v>16584.550781000002</v>
      </c>
      <c r="C32">
        <v>4158.2402339999999</v>
      </c>
      <c r="F32">
        <f t="shared" si="0"/>
        <v>-4.6231041174613447E-3</v>
      </c>
      <c r="G32">
        <f t="shared" si="0"/>
        <v>2.4441130078685584E-2</v>
      </c>
    </row>
    <row r="33" spans="1:7" x14ac:dyDescent="0.35">
      <c r="A33" s="2">
        <v>44713</v>
      </c>
      <c r="B33">
        <v>16522.75</v>
      </c>
      <c r="C33">
        <v>4132.1499020000001</v>
      </c>
      <c r="F33">
        <f t="shared" si="0"/>
        <v>-3.733367041339183E-3</v>
      </c>
      <c r="G33">
        <f t="shared" si="0"/>
        <v>-6.2941351866737365E-3</v>
      </c>
    </row>
    <row r="34" spans="1:7" x14ac:dyDescent="0.35">
      <c r="A34" s="2">
        <v>44714</v>
      </c>
      <c r="B34">
        <v>16628</v>
      </c>
      <c r="C34">
        <v>4101.2299800000001</v>
      </c>
      <c r="F34">
        <f t="shared" si="0"/>
        <v>6.3498022602603054E-3</v>
      </c>
      <c r="G34">
        <f t="shared" si="0"/>
        <v>-7.5109050722612898E-3</v>
      </c>
    </row>
    <row r="35" spans="1:7" x14ac:dyDescent="0.35">
      <c r="A35" s="2">
        <v>44715</v>
      </c>
      <c r="B35">
        <v>16584.300781000002</v>
      </c>
      <c r="C35">
        <v>4176.8198240000002</v>
      </c>
      <c r="F35">
        <f t="shared" si="0"/>
        <v>-2.6315096027621498E-3</v>
      </c>
      <c r="G35">
        <f t="shared" si="0"/>
        <v>1.8263225477467809E-2</v>
      </c>
    </row>
    <row r="36" spans="1:7" x14ac:dyDescent="0.35">
      <c r="A36" s="2">
        <v>44718</v>
      </c>
      <c r="B36">
        <v>16569.550781000002</v>
      </c>
      <c r="C36">
        <v>4108.5400390000004</v>
      </c>
      <c r="F36">
        <f t="shared" si="0"/>
        <v>-8.897910968553366E-4</v>
      </c>
      <c r="G36">
        <f t="shared" si="0"/>
        <v>-1.6482405572656827E-2</v>
      </c>
    </row>
    <row r="37" spans="1:7" x14ac:dyDescent="0.35">
      <c r="A37" s="2">
        <v>44719</v>
      </c>
      <c r="B37">
        <v>16416.349609000001</v>
      </c>
      <c r="C37">
        <v>4121.4301759999998</v>
      </c>
      <c r="F37">
        <f t="shared" si="0"/>
        <v>-9.2889550846470235E-3</v>
      </c>
      <c r="G37">
        <f t="shared" si="0"/>
        <v>3.1324894753243142E-3</v>
      </c>
    </row>
    <row r="38" spans="1:7" x14ac:dyDescent="0.35">
      <c r="A38" s="2">
        <v>44720</v>
      </c>
      <c r="B38">
        <v>16356.25</v>
      </c>
      <c r="C38">
        <v>4160.6801759999998</v>
      </c>
      <c r="F38">
        <f t="shared" si="0"/>
        <v>-3.6676783098074247E-3</v>
      </c>
      <c r="G38">
        <f t="shared" si="0"/>
        <v>9.4783315312192331E-3</v>
      </c>
    </row>
    <row r="39" spans="1:7" x14ac:dyDescent="0.35">
      <c r="A39" s="2">
        <v>44721</v>
      </c>
      <c r="B39">
        <v>16478.099609000001</v>
      </c>
      <c r="C39">
        <v>4115.7700199999999</v>
      </c>
      <c r="F39">
        <f t="shared" si="0"/>
        <v>7.4221155478582492E-3</v>
      </c>
      <c r="G39">
        <f t="shared" si="0"/>
        <v>-1.0852622978839667E-2</v>
      </c>
    </row>
    <row r="40" spans="1:7" x14ac:dyDescent="0.35">
      <c r="A40" s="2">
        <v>44722</v>
      </c>
      <c r="B40">
        <v>16201.799805000001</v>
      </c>
      <c r="C40">
        <v>4017.820068</v>
      </c>
      <c r="F40">
        <f t="shared" si="0"/>
        <v>-1.6909867702809767E-2</v>
      </c>
      <c r="G40">
        <f t="shared" si="0"/>
        <v>-2.4086457868492003E-2</v>
      </c>
    </row>
    <row r="41" spans="1:7" x14ac:dyDescent="0.35">
      <c r="A41" s="2">
        <v>44725</v>
      </c>
      <c r="B41">
        <v>15774.400390999999</v>
      </c>
      <c r="C41">
        <v>3900.860107</v>
      </c>
      <c r="F41">
        <f t="shared" si="0"/>
        <v>-2.6733937515731256E-2</v>
      </c>
      <c r="G41">
        <f t="shared" si="0"/>
        <v>-2.9542414830113429E-2</v>
      </c>
    </row>
    <row r="42" spans="1:7" x14ac:dyDescent="0.35">
      <c r="A42" s="2">
        <v>44726</v>
      </c>
      <c r="B42">
        <v>15732.099609000001</v>
      </c>
      <c r="C42">
        <v>3749.6298830000001</v>
      </c>
      <c r="F42">
        <f t="shared" si="0"/>
        <v>-2.6852114590314034E-3</v>
      </c>
      <c r="G42">
        <f t="shared" si="0"/>
        <v>-3.95399318318857E-2</v>
      </c>
    </row>
    <row r="43" spans="1:7" x14ac:dyDescent="0.35">
      <c r="A43" s="2">
        <v>44727</v>
      </c>
      <c r="B43">
        <v>15692.150390999999</v>
      </c>
      <c r="C43">
        <v>3735.4799800000001</v>
      </c>
      <c r="F43">
        <f t="shared" si="0"/>
        <v>-2.5425739371080034E-3</v>
      </c>
      <c r="G43">
        <f t="shared" si="0"/>
        <v>-3.7808182149804753E-3</v>
      </c>
    </row>
    <row r="44" spans="1:7" x14ac:dyDescent="0.35">
      <c r="A44" s="2">
        <v>44728</v>
      </c>
      <c r="B44">
        <v>15360.599609000001</v>
      </c>
      <c r="C44">
        <v>3789.98999</v>
      </c>
      <c r="F44">
        <f t="shared" si="0"/>
        <v>-2.1354848227625321E-2</v>
      </c>
      <c r="G44">
        <f t="shared" si="0"/>
        <v>1.4487058900179855E-2</v>
      </c>
    </row>
    <row r="45" spans="1:7" x14ac:dyDescent="0.35">
      <c r="A45" s="2">
        <v>44729</v>
      </c>
      <c r="B45">
        <v>15293.5</v>
      </c>
      <c r="C45">
        <v>3666.7700199999999</v>
      </c>
      <c r="F45">
        <f t="shared" si="0"/>
        <v>-4.3778624734249188E-3</v>
      </c>
      <c r="G45">
        <f t="shared" si="0"/>
        <v>-3.3052206924162886E-2</v>
      </c>
    </row>
    <row r="46" spans="1:7" x14ac:dyDescent="0.35">
      <c r="A46" s="2">
        <v>44732</v>
      </c>
      <c r="B46">
        <v>15350.150390999999</v>
      </c>
      <c r="C46">
        <v>3674.8400879999999</v>
      </c>
      <c r="F46">
        <f t="shared" si="0"/>
        <v>3.6973699160483147E-3</v>
      </c>
      <c r="G46">
        <f t="shared" si="0"/>
        <v>2.1984472429394143E-3</v>
      </c>
    </row>
    <row r="47" spans="1:7" x14ac:dyDescent="0.35">
      <c r="A47" s="2">
        <v>44733</v>
      </c>
      <c r="B47">
        <v>15638.799805000001</v>
      </c>
      <c r="C47">
        <v>3764.790039</v>
      </c>
      <c r="F47">
        <f t="shared" si="0"/>
        <v>1.8629721917355551E-2</v>
      </c>
      <c r="G47">
        <f t="shared" si="0"/>
        <v>2.4182474914307743E-2</v>
      </c>
    </row>
    <row r="48" spans="1:7" x14ac:dyDescent="0.35">
      <c r="A48" s="2">
        <v>44734</v>
      </c>
      <c r="B48">
        <v>15413.299805000001</v>
      </c>
      <c r="C48">
        <v>3759.889893</v>
      </c>
      <c r="F48">
        <f t="shared" si="0"/>
        <v>-1.4524232949345612E-2</v>
      </c>
      <c r="G48">
        <f t="shared" si="0"/>
        <v>-1.3024199665521402E-3</v>
      </c>
    </row>
    <row r="49" spans="1:7" x14ac:dyDescent="0.35">
      <c r="A49" s="2">
        <v>44735</v>
      </c>
      <c r="B49">
        <v>15556.650390999999</v>
      </c>
      <c r="C49">
        <v>3795.7299800000001</v>
      </c>
      <c r="F49">
        <f t="shared" si="0"/>
        <v>9.2574646624352681E-3</v>
      </c>
      <c r="G49">
        <f t="shared" si="0"/>
        <v>9.4870722498584699E-3</v>
      </c>
    </row>
    <row r="50" spans="1:7" x14ac:dyDescent="0.35">
      <c r="A50" s="2">
        <v>44736</v>
      </c>
      <c r="B50">
        <v>15699.25</v>
      </c>
      <c r="C50">
        <v>3911.73999</v>
      </c>
      <c r="F50">
        <f t="shared" si="0"/>
        <v>9.1247154376292543E-3</v>
      </c>
      <c r="G50">
        <f t="shared" si="0"/>
        <v>3.0105539793479238E-2</v>
      </c>
    </row>
    <row r="51" spans="1:7" x14ac:dyDescent="0.35">
      <c r="A51" s="2">
        <v>44739</v>
      </c>
      <c r="B51">
        <v>15832.049805000001</v>
      </c>
      <c r="C51">
        <v>3900.110107</v>
      </c>
      <c r="F51">
        <f t="shared" si="0"/>
        <v>8.4234136266077789E-3</v>
      </c>
      <c r="G51">
        <f t="shared" si="0"/>
        <v>-2.9774999385948726E-3</v>
      </c>
    </row>
    <row r="52" spans="1:7" x14ac:dyDescent="0.35">
      <c r="A52" s="2">
        <v>44740</v>
      </c>
      <c r="B52">
        <v>15850.200194999999</v>
      </c>
      <c r="C52">
        <v>3821.5500489999999</v>
      </c>
      <c r="F52">
        <f t="shared" si="0"/>
        <v>1.1457767037162702E-3</v>
      </c>
      <c r="G52">
        <f t="shared" si="0"/>
        <v>-2.0348672996349685E-2</v>
      </c>
    </row>
    <row r="53" spans="1:7" x14ac:dyDescent="0.35">
      <c r="A53" s="2">
        <v>44741</v>
      </c>
      <c r="B53">
        <v>15799.099609000001</v>
      </c>
      <c r="C53">
        <v>3818.830078</v>
      </c>
      <c r="F53">
        <f t="shared" si="0"/>
        <v>-3.2291792059318883E-3</v>
      </c>
      <c r="G53">
        <f t="shared" si="0"/>
        <v>-7.1199889788044397E-4</v>
      </c>
    </row>
    <row r="54" spans="1:7" x14ac:dyDescent="0.35">
      <c r="A54" s="2">
        <v>44742</v>
      </c>
      <c r="B54">
        <v>15780.25</v>
      </c>
      <c r="C54">
        <v>3785.3798830000001</v>
      </c>
      <c r="F54">
        <f t="shared" si="0"/>
        <v>-1.1937935056930064E-3</v>
      </c>
      <c r="G54">
        <f t="shared" si="0"/>
        <v>-8.7978661641024084E-3</v>
      </c>
    </row>
    <row r="55" spans="1:7" x14ac:dyDescent="0.35">
      <c r="A55" s="2">
        <v>44743</v>
      </c>
      <c r="B55">
        <v>15752.049805000001</v>
      </c>
      <c r="C55">
        <v>3825.330078</v>
      </c>
      <c r="F55">
        <f t="shared" si="0"/>
        <v>-1.7886549787214543E-3</v>
      </c>
      <c r="G55">
        <f t="shared" si="0"/>
        <v>1.0498511214429478E-2</v>
      </c>
    </row>
    <row r="56" spans="1:7" x14ac:dyDescent="0.35">
      <c r="A56" s="2">
        <v>44746</v>
      </c>
      <c r="B56">
        <v>15835.349609000001</v>
      </c>
      <c r="C56">
        <v>3831.389893</v>
      </c>
      <c r="F56">
        <f t="shared" si="0"/>
        <v>5.2742548387306222E-3</v>
      </c>
      <c r="G56">
        <f t="shared" si="0"/>
        <v>1.5828752489806775E-3</v>
      </c>
    </row>
    <row r="57" spans="1:7" x14ac:dyDescent="0.35">
      <c r="A57" s="2">
        <v>44747</v>
      </c>
      <c r="B57">
        <v>15810.849609000001</v>
      </c>
      <c r="C57">
        <v>3845.080078</v>
      </c>
      <c r="F57">
        <f t="shared" si="0"/>
        <v>-1.5483695040922412E-3</v>
      </c>
      <c r="G57">
        <f t="shared" si="0"/>
        <v>3.5667955624467166E-3</v>
      </c>
    </row>
    <row r="58" spans="1:7" x14ac:dyDescent="0.35">
      <c r="A58" s="2">
        <v>44748</v>
      </c>
      <c r="B58">
        <v>15989.799805000001</v>
      </c>
      <c r="C58">
        <v>3902.6201169999999</v>
      </c>
      <c r="F58">
        <f t="shared" si="0"/>
        <v>1.1254618267793701E-2</v>
      </c>
      <c r="G58">
        <f t="shared" si="0"/>
        <v>1.4853723165394822E-2</v>
      </c>
    </row>
    <row r="59" spans="1:7" x14ac:dyDescent="0.35">
      <c r="A59" s="2">
        <v>44749</v>
      </c>
      <c r="B59">
        <v>16132.900390999999</v>
      </c>
      <c r="C59">
        <v>3899.3798830000001</v>
      </c>
      <c r="F59">
        <f t="shared" si="0"/>
        <v>8.9096826708300117E-3</v>
      </c>
      <c r="G59">
        <f t="shared" si="0"/>
        <v>-8.3061629999814596E-4</v>
      </c>
    </row>
    <row r="60" spans="1:7" x14ac:dyDescent="0.35">
      <c r="A60" s="2">
        <v>44750</v>
      </c>
      <c r="B60">
        <v>16220.599609000001</v>
      </c>
      <c r="C60">
        <v>3854.429932</v>
      </c>
      <c r="F60">
        <f t="shared" si="0"/>
        <v>5.421325840824249E-3</v>
      </c>
      <c r="G60">
        <f t="shared" si="0"/>
        <v>-1.1594417615373311E-2</v>
      </c>
    </row>
    <row r="61" spans="1:7" x14ac:dyDescent="0.35">
      <c r="A61" s="2">
        <v>44753</v>
      </c>
      <c r="B61">
        <v>16216</v>
      </c>
      <c r="C61">
        <v>3818.8000489999999</v>
      </c>
      <c r="F61">
        <f t="shared" si="0"/>
        <v>-2.8360611693425074E-4</v>
      </c>
      <c r="G61">
        <f t="shared" si="0"/>
        <v>-9.2868685457229792E-3</v>
      </c>
    </row>
    <row r="62" spans="1:7" x14ac:dyDescent="0.35">
      <c r="A62" s="2">
        <v>44754</v>
      </c>
      <c r="B62">
        <v>16058.299805000001</v>
      </c>
      <c r="C62">
        <v>3801.780029</v>
      </c>
      <c r="F62">
        <f t="shared" si="0"/>
        <v>-9.7725714282244844E-3</v>
      </c>
      <c r="G62">
        <f t="shared" si="0"/>
        <v>-4.466864234912612E-3</v>
      </c>
    </row>
    <row r="63" spans="1:7" x14ac:dyDescent="0.35">
      <c r="A63" s="2">
        <v>44755</v>
      </c>
      <c r="B63">
        <v>15966.650390999999</v>
      </c>
      <c r="C63">
        <v>3790.3798830000001</v>
      </c>
      <c r="F63">
        <f t="shared" si="0"/>
        <v>-5.7236413260525441E-3</v>
      </c>
      <c r="G63">
        <f t="shared" si="0"/>
        <v>-3.0031386852085425E-3</v>
      </c>
    </row>
    <row r="64" spans="1:7" x14ac:dyDescent="0.35">
      <c r="A64" s="2">
        <v>44756</v>
      </c>
      <c r="B64">
        <v>15938.650390999999</v>
      </c>
      <c r="C64">
        <v>3863.1599120000001</v>
      </c>
      <c r="F64">
        <f t="shared" si="0"/>
        <v>-1.7551946856501925E-3</v>
      </c>
      <c r="G64">
        <f t="shared" si="0"/>
        <v>1.9019231580853856E-2</v>
      </c>
    </row>
    <row r="65" spans="1:7" x14ac:dyDescent="0.35">
      <c r="A65" s="2">
        <v>44757</v>
      </c>
      <c r="B65">
        <v>16049.200194999999</v>
      </c>
      <c r="C65">
        <v>3830.8500979999999</v>
      </c>
      <c r="F65">
        <f t="shared" si="0"/>
        <v>6.9120145373660624E-3</v>
      </c>
      <c r="G65">
        <f t="shared" si="0"/>
        <v>-8.3987423677916329E-3</v>
      </c>
    </row>
    <row r="66" spans="1:7" x14ac:dyDescent="0.35">
      <c r="A66" s="2">
        <v>44760</v>
      </c>
      <c r="B66">
        <v>16278.5</v>
      </c>
      <c r="C66">
        <v>3936.6899410000001</v>
      </c>
      <c r="F66">
        <f t="shared" si="0"/>
        <v>1.4186202490190198E-2</v>
      </c>
      <c r="G66">
        <f t="shared" si="0"/>
        <v>2.7253517450803007E-2</v>
      </c>
    </row>
    <row r="67" spans="1:7" x14ac:dyDescent="0.35">
      <c r="A67" s="2">
        <v>44761</v>
      </c>
      <c r="B67">
        <v>16340.549805000001</v>
      </c>
      <c r="C67">
        <v>3959.8999020000001</v>
      </c>
      <c r="F67">
        <f t="shared" si="0"/>
        <v>3.8045179252721916E-3</v>
      </c>
      <c r="G67">
        <f t="shared" si="0"/>
        <v>5.8784939574451373E-3</v>
      </c>
    </row>
    <row r="68" spans="1:7" x14ac:dyDescent="0.35">
      <c r="A68" s="2">
        <v>44762</v>
      </c>
      <c r="B68">
        <v>16520.849609000001</v>
      </c>
      <c r="C68">
        <v>3998.9499510000001</v>
      </c>
      <c r="F68">
        <f t="shared" ref="F68:G131" si="1">LN(B68/B67)</f>
        <v>1.0973459224023095E-2</v>
      </c>
      <c r="G68">
        <f t="shared" si="1"/>
        <v>9.813066733332397E-3</v>
      </c>
    </row>
    <row r="69" spans="1:7" x14ac:dyDescent="0.35">
      <c r="A69" s="2">
        <v>44763</v>
      </c>
      <c r="B69">
        <v>16605.25</v>
      </c>
      <c r="C69">
        <v>3961.6298830000001</v>
      </c>
      <c r="F69">
        <f t="shared" si="1"/>
        <v>5.0957145348633059E-3</v>
      </c>
      <c r="G69">
        <f t="shared" si="1"/>
        <v>-9.3762872035048316E-3</v>
      </c>
    </row>
    <row r="70" spans="1:7" x14ac:dyDescent="0.35">
      <c r="A70" s="2">
        <v>44764</v>
      </c>
      <c r="B70">
        <v>16719.449218999998</v>
      </c>
      <c r="C70">
        <v>3966.8400879999999</v>
      </c>
      <c r="F70">
        <f t="shared" si="1"/>
        <v>6.8537552451191199E-3</v>
      </c>
      <c r="G70">
        <f t="shared" si="1"/>
        <v>1.3143029535492314E-3</v>
      </c>
    </row>
    <row r="71" spans="1:7" x14ac:dyDescent="0.35">
      <c r="A71" s="2">
        <v>44767</v>
      </c>
      <c r="B71">
        <v>16631</v>
      </c>
      <c r="C71">
        <v>3921.0500489999999</v>
      </c>
      <c r="F71">
        <f t="shared" si="1"/>
        <v>-5.3042419786028111E-3</v>
      </c>
      <c r="G71">
        <f t="shared" si="1"/>
        <v>-1.1610342583001728E-2</v>
      </c>
    </row>
    <row r="72" spans="1:7" x14ac:dyDescent="0.35">
      <c r="A72" s="2">
        <v>44768</v>
      </c>
      <c r="B72">
        <v>16483.849609000001</v>
      </c>
      <c r="C72">
        <v>4023.610107</v>
      </c>
      <c r="F72">
        <f t="shared" si="1"/>
        <v>-8.8873337060962447E-3</v>
      </c>
      <c r="G72">
        <f t="shared" si="1"/>
        <v>2.5820048629945237E-2</v>
      </c>
    </row>
    <row r="73" spans="1:7" x14ac:dyDescent="0.35">
      <c r="A73" s="2">
        <v>44769</v>
      </c>
      <c r="B73">
        <v>16641.800781000002</v>
      </c>
      <c r="C73">
        <v>4072.429932</v>
      </c>
      <c r="F73">
        <f t="shared" si="1"/>
        <v>9.5365595678121515E-3</v>
      </c>
      <c r="G73">
        <f t="shared" si="1"/>
        <v>1.2060319985008465E-2</v>
      </c>
    </row>
    <row r="74" spans="1:7" x14ac:dyDescent="0.35">
      <c r="A74" s="2">
        <v>44770</v>
      </c>
      <c r="B74">
        <v>16929.599609000001</v>
      </c>
      <c r="C74">
        <v>4130.2900390000004</v>
      </c>
      <c r="F74">
        <f t="shared" si="1"/>
        <v>1.7145896522397983E-2</v>
      </c>
      <c r="G74">
        <f t="shared" si="1"/>
        <v>1.4107775678375747E-2</v>
      </c>
    </row>
    <row r="75" spans="1:7" x14ac:dyDescent="0.35">
      <c r="A75" s="2">
        <v>44771</v>
      </c>
      <c r="B75">
        <v>17158.25</v>
      </c>
      <c r="C75">
        <v>4118.6298829999996</v>
      </c>
      <c r="F75">
        <f t="shared" si="1"/>
        <v>1.3415561435266298E-2</v>
      </c>
      <c r="G75">
        <f t="shared" si="1"/>
        <v>-2.8270764842599837E-3</v>
      </c>
    </row>
    <row r="76" spans="1:7" x14ac:dyDescent="0.35">
      <c r="A76" s="2">
        <v>44774</v>
      </c>
      <c r="B76">
        <v>17340.050781000002</v>
      </c>
      <c r="C76">
        <v>4091.1899410000001</v>
      </c>
      <c r="F76">
        <f t="shared" si="1"/>
        <v>1.0539792387437338E-2</v>
      </c>
      <c r="G76">
        <f t="shared" si="1"/>
        <v>-6.6846885236944431E-3</v>
      </c>
    </row>
    <row r="77" spans="1:7" x14ac:dyDescent="0.35">
      <c r="A77" s="2">
        <v>44775</v>
      </c>
      <c r="B77">
        <v>17345.449218999998</v>
      </c>
      <c r="C77">
        <v>4155.169922</v>
      </c>
      <c r="F77">
        <f t="shared" si="1"/>
        <v>3.1127924023498926E-4</v>
      </c>
      <c r="G77">
        <f t="shared" si="1"/>
        <v>1.5517456399472265E-2</v>
      </c>
    </row>
    <row r="78" spans="1:7" x14ac:dyDescent="0.35">
      <c r="A78" s="2">
        <v>44776</v>
      </c>
      <c r="B78">
        <v>17388.150390999999</v>
      </c>
      <c r="C78">
        <v>4151.9399409999996</v>
      </c>
      <c r="F78">
        <f t="shared" si="1"/>
        <v>2.4587830799204626E-3</v>
      </c>
      <c r="G78">
        <f t="shared" si="1"/>
        <v>-7.776425775126313E-4</v>
      </c>
    </row>
    <row r="79" spans="1:7" x14ac:dyDescent="0.35">
      <c r="A79" s="2">
        <v>44777</v>
      </c>
      <c r="B79">
        <v>17382</v>
      </c>
      <c r="C79">
        <v>4145.1899409999996</v>
      </c>
      <c r="F79">
        <f t="shared" si="1"/>
        <v>-3.537741997076726E-4</v>
      </c>
      <c r="G79">
        <f t="shared" si="1"/>
        <v>-1.6270690190784735E-3</v>
      </c>
    </row>
    <row r="80" spans="1:7" x14ac:dyDescent="0.35">
      <c r="A80" s="2">
        <v>44778</v>
      </c>
      <c r="B80">
        <v>17397.5</v>
      </c>
      <c r="C80">
        <v>4140.0600590000004</v>
      </c>
      <c r="F80">
        <f t="shared" si="1"/>
        <v>8.9132972159968534E-4</v>
      </c>
      <c r="G80">
        <f t="shared" si="1"/>
        <v>-1.2383169259889972E-3</v>
      </c>
    </row>
    <row r="81" spans="1:7" x14ac:dyDescent="0.35">
      <c r="A81" s="2">
        <v>44781</v>
      </c>
      <c r="B81">
        <v>17525.099609000001</v>
      </c>
      <c r="C81">
        <v>4122.4702150000003</v>
      </c>
      <c r="F81">
        <f t="shared" si="1"/>
        <v>7.3075989907427051E-3</v>
      </c>
      <c r="G81">
        <f t="shared" si="1"/>
        <v>-4.2577442961510698E-3</v>
      </c>
    </row>
    <row r="82" spans="1:7" x14ac:dyDescent="0.35">
      <c r="A82" s="2">
        <v>44783</v>
      </c>
      <c r="B82">
        <v>17534.75</v>
      </c>
      <c r="C82">
        <v>4210.2402339999999</v>
      </c>
      <c r="F82">
        <f t="shared" si="1"/>
        <v>5.5050956300976427E-4</v>
      </c>
      <c r="G82">
        <f t="shared" si="1"/>
        <v>2.1067158333436736E-2</v>
      </c>
    </row>
    <row r="83" spans="1:7" x14ac:dyDescent="0.35">
      <c r="A83" s="2">
        <v>44784</v>
      </c>
      <c r="B83">
        <v>17659</v>
      </c>
      <c r="C83">
        <v>4207.2700199999999</v>
      </c>
      <c r="F83">
        <f t="shared" si="1"/>
        <v>7.0609421403666373E-3</v>
      </c>
      <c r="G83">
        <f t="shared" si="1"/>
        <v>-7.0572272171886088E-4</v>
      </c>
    </row>
    <row r="84" spans="1:7" x14ac:dyDescent="0.35">
      <c r="A84" s="2">
        <v>44785</v>
      </c>
      <c r="B84">
        <v>17698.150390999999</v>
      </c>
      <c r="C84">
        <v>4280.1499020000001</v>
      </c>
      <c r="F84">
        <f t="shared" si="1"/>
        <v>2.2145680049169341E-3</v>
      </c>
      <c r="G84">
        <f t="shared" si="1"/>
        <v>1.7174046759765853E-2</v>
      </c>
    </row>
    <row r="85" spans="1:7" x14ac:dyDescent="0.35">
      <c r="A85" s="2">
        <v>44789</v>
      </c>
      <c r="B85">
        <v>17825.25</v>
      </c>
      <c r="C85">
        <v>4297.1401370000003</v>
      </c>
      <c r="F85">
        <f t="shared" si="1"/>
        <v>7.1558550115442465E-3</v>
      </c>
      <c r="G85">
        <f t="shared" si="1"/>
        <v>3.9616842019963771E-3</v>
      </c>
    </row>
    <row r="86" spans="1:7" x14ac:dyDescent="0.35">
      <c r="A86" s="2">
        <v>44790</v>
      </c>
      <c r="B86">
        <v>17944.25</v>
      </c>
      <c r="C86">
        <v>4305.2001950000003</v>
      </c>
      <c r="F86">
        <f t="shared" si="1"/>
        <v>6.6537379070216564E-3</v>
      </c>
      <c r="G86">
        <f t="shared" si="1"/>
        <v>1.8739226879107348E-3</v>
      </c>
    </row>
    <row r="87" spans="1:7" x14ac:dyDescent="0.35">
      <c r="A87" s="2">
        <v>44791</v>
      </c>
      <c r="B87">
        <v>17956.5</v>
      </c>
      <c r="C87">
        <v>4274.0400390000004</v>
      </c>
      <c r="F87">
        <f t="shared" si="1"/>
        <v>6.8243702292707423E-4</v>
      </c>
      <c r="G87">
        <f t="shared" si="1"/>
        <v>-7.2641148096845238E-3</v>
      </c>
    </row>
    <row r="88" spans="1:7" x14ac:dyDescent="0.35">
      <c r="A88" s="2">
        <v>44792</v>
      </c>
      <c r="B88">
        <v>17758.449218999998</v>
      </c>
      <c r="C88">
        <v>4283.7402339999999</v>
      </c>
      <c r="F88">
        <f t="shared" si="1"/>
        <v>-1.109075137587731E-2</v>
      </c>
      <c r="G88">
        <f t="shared" si="1"/>
        <v>2.2669895334674148E-3</v>
      </c>
    </row>
    <row r="89" spans="1:7" x14ac:dyDescent="0.35">
      <c r="A89" s="2">
        <v>44795</v>
      </c>
      <c r="B89">
        <v>17490.699218999998</v>
      </c>
      <c r="C89">
        <v>4228.4799800000001</v>
      </c>
      <c r="F89">
        <f t="shared" si="1"/>
        <v>-1.5192148553993359E-2</v>
      </c>
      <c r="G89">
        <f t="shared" si="1"/>
        <v>-1.2983928736354001E-2</v>
      </c>
    </row>
    <row r="90" spans="1:7" x14ac:dyDescent="0.35">
      <c r="A90" s="2">
        <v>44796</v>
      </c>
      <c r="B90">
        <v>17577.5</v>
      </c>
      <c r="C90">
        <v>4137.9902339999999</v>
      </c>
      <c r="F90">
        <f t="shared" si="1"/>
        <v>4.9504086436529104E-3</v>
      </c>
      <c r="G90">
        <f t="shared" si="1"/>
        <v>-2.1632366446262888E-2</v>
      </c>
    </row>
    <row r="91" spans="1:7" x14ac:dyDescent="0.35">
      <c r="A91" s="2">
        <v>44797</v>
      </c>
      <c r="B91">
        <v>17604.949218999998</v>
      </c>
      <c r="C91">
        <v>4128.7299800000001</v>
      </c>
      <c r="F91">
        <f t="shared" si="1"/>
        <v>1.5603930470356744E-3</v>
      </c>
      <c r="G91">
        <f t="shared" si="1"/>
        <v>-2.2403704573474483E-3</v>
      </c>
    </row>
    <row r="92" spans="1:7" x14ac:dyDescent="0.35">
      <c r="A92" s="2">
        <v>44798</v>
      </c>
      <c r="B92">
        <v>17522.449218999998</v>
      </c>
      <c r="C92">
        <v>4140.7700199999999</v>
      </c>
      <c r="F92">
        <f t="shared" si="1"/>
        <v>-4.6971967954417947E-3</v>
      </c>
      <c r="G92">
        <f t="shared" si="1"/>
        <v>2.9119169254612858E-3</v>
      </c>
    </row>
    <row r="93" spans="1:7" x14ac:dyDescent="0.35">
      <c r="A93" s="2">
        <v>44799</v>
      </c>
      <c r="B93">
        <v>17558.900390999999</v>
      </c>
      <c r="C93">
        <v>4199.1201170000004</v>
      </c>
      <c r="F93">
        <f t="shared" si="1"/>
        <v>2.0780948009713469E-3</v>
      </c>
      <c r="G93">
        <f t="shared" si="1"/>
        <v>1.3993241678251318E-2</v>
      </c>
    </row>
    <row r="94" spans="1:7" x14ac:dyDescent="0.35">
      <c r="A94" s="2">
        <v>44802</v>
      </c>
      <c r="B94">
        <v>17312.900390999999</v>
      </c>
      <c r="C94">
        <v>4057.6599120000001</v>
      </c>
      <c r="F94">
        <f t="shared" si="1"/>
        <v>-1.4109055185640235E-2</v>
      </c>
      <c r="G94">
        <f t="shared" si="1"/>
        <v>-3.426857629934258E-2</v>
      </c>
    </row>
    <row r="95" spans="1:7" x14ac:dyDescent="0.35">
      <c r="A95" s="2">
        <v>44803</v>
      </c>
      <c r="B95">
        <v>17759.300781000002</v>
      </c>
      <c r="C95">
        <v>4030.610107</v>
      </c>
      <c r="F95">
        <f t="shared" si="1"/>
        <v>2.5457455391694684E-2</v>
      </c>
      <c r="G95">
        <f t="shared" si="1"/>
        <v>-6.6886752750374501E-3</v>
      </c>
    </row>
    <row r="96" spans="1:7" x14ac:dyDescent="0.35">
      <c r="A96" s="2">
        <v>44805</v>
      </c>
      <c r="B96">
        <v>17542.800781000002</v>
      </c>
      <c r="C96">
        <v>3986.1599120000001</v>
      </c>
      <c r="F96">
        <f t="shared" si="1"/>
        <v>-1.2265712506677323E-2</v>
      </c>
      <c r="G96">
        <f t="shared" si="1"/>
        <v>-1.1089416414887853E-2</v>
      </c>
    </row>
    <row r="97" spans="1:7" x14ac:dyDescent="0.35">
      <c r="A97" s="2">
        <v>44806</v>
      </c>
      <c r="B97">
        <v>17539.449218999998</v>
      </c>
      <c r="C97">
        <v>3955</v>
      </c>
      <c r="F97">
        <f t="shared" si="1"/>
        <v>-1.9106881743326563E-4</v>
      </c>
      <c r="G97">
        <f t="shared" si="1"/>
        <v>-7.8477381807143167E-3</v>
      </c>
    </row>
    <row r="98" spans="1:7" x14ac:dyDescent="0.35">
      <c r="A98" s="2">
        <v>44809</v>
      </c>
      <c r="B98">
        <v>17665.800781000002</v>
      </c>
      <c r="C98">
        <v>3966.8500979999999</v>
      </c>
      <c r="F98">
        <f t="shared" si="1"/>
        <v>7.1780262609507954E-3</v>
      </c>
      <c r="G98">
        <f t="shared" si="1"/>
        <v>2.991752353850595E-3</v>
      </c>
    </row>
    <row r="99" spans="1:7" x14ac:dyDescent="0.35">
      <c r="A99" s="2">
        <v>44810</v>
      </c>
      <c r="B99">
        <v>17655.599609000001</v>
      </c>
      <c r="C99">
        <v>3924.26001</v>
      </c>
      <c r="F99">
        <f t="shared" si="1"/>
        <v>-5.7761992282270099E-4</v>
      </c>
      <c r="G99">
        <f t="shared" si="1"/>
        <v>-1.079455259765533E-2</v>
      </c>
    </row>
    <row r="100" spans="1:7" x14ac:dyDescent="0.35">
      <c r="A100" s="2">
        <v>44811</v>
      </c>
      <c r="B100">
        <v>17624.400390999999</v>
      </c>
      <c r="C100">
        <v>3908.1899410000001</v>
      </c>
      <c r="F100">
        <f t="shared" si="1"/>
        <v>-1.768663612984197E-3</v>
      </c>
      <c r="G100">
        <f t="shared" si="1"/>
        <v>-4.1034648545681162E-3</v>
      </c>
    </row>
    <row r="101" spans="1:7" x14ac:dyDescent="0.35">
      <c r="A101" s="2">
        <v>44812</v>
      </c>
      <c r="B101">
        <v>17798.75</v>
      </c>
      <c r="C101">
        <v>3979.8701169999999</v>
      </c>
      <c r="F101">
        <f t="shared" si="1"/>
        <v>9.8439023622352469E-3</v>
      </c>
      <c r="G101">
        <f t="shared" si="1"/>
        <v>1.8174848723006034E-2</v>
      </c>
    </row>
    <row r="102" spans="1:7" x14ac:dyDescent="0.35">
      <c r="A102" s="2">
        <v>44813</v>
      </c>
      <c r="B102">
        <v>17833.349609000001</v>
      </c>
      <c r="C102">
        <v>4006.179932</v>
      </c>
      <c r="F102">
        <f t="shared" si="1"/>
        <v>1.9420477745730185E-3</v>
      </c>
      <c r="G102">
        <f t="shared" si="1"/>
        <v>6.5889670172598197E-3</v>
      </c>
    </row>
    <row r="103" spans="1:7" x14ac:dyDescent="0.35">
      <c r="A103" s="2">
        <v>44816</v>
      </c>
      <c r="B103">
        <v>17936.349609000001</v>
      </c>
      <c r="C103">
        <v>4067.360107</v>
      </c>
      <c r="F103">
        <f t="shared" si="1"/>
        <v>5.759080279404593E-3</v>
      </c>
      <c r="G103">
        <f t="shared" si="1"/>
        <v>1.5156014787783839E-2</v>
      </c>
    </row>
    <row r="104" spans="1:7" x14ac:dyDescent="0.35">
      <c r="A104" s="2">
        <v>44817</v>
      </c>
      <c r="B104">
        <v>18070.050781000002</v>
      </c>
      <c r="C104">
        <v>4110.4101559999999</v>
      </c>
      <c r="F104">
        <f t="shared" si="1"/>
        <v>7.426556671107162E-3</v>
      </c>
      <c r="G104">
        <f t="shared" si="1"/>
        <v>1.0528651526896656E-2</v>
      </c>
    </row>
    <row r="105" spans="1:7" x14ac:dyDescent="0.35">
      <c r="A105" s="2">
        <v>44818</v>
      </c>
      <c r="B105">
        <v>18003.75</v>
      </c>
      <c r="C105">
        <v>3932.6899410000001</v>
      </c>
      <c r="F105">
        <f t="shared" si="1"/>
        <v>-3.6758453070292289E-3</v>
      </c>
      <c r="G105">
        <f t="shared" si="1"/>
        <v>-4.4199163074453554E-2</v>
      </c>
    </row>
    <row r="106" spans="1:7" x14ac:dyDescent="0.35">
      <c r="A106" s="2">
        <v>44819</v>
      </c>
      <c r="B106">
        <v>17877.400390999999</v>
      </c>
      <c r="C106">
        <v>3946.01001</v>
      </c>
      <c r="F106">
        <f t="shared" si="1"/>
        <v>-7.0427023584336149E-3</v>
      </c>
      <c r="G106">
        <f t="shared" si="1"/>
        <v>3.3812892415410762E-3</v>
      </c>
    </row>
    <row r="107" spans="1:7" x14ac:dyDescent="0.35">
      <c r="A107" s="2">
        <v>44820</v>
      </c>
      <c r="B107">
        <v>17530.849609000001</v>
      </c>
      <c r="C107">
        <v>3901.3500979999999</v>
      </c>
      <c r="F107">
        <f t="shared" si="1"/>
        <v>-1.9575203412843755E-2</v>
      </c>
      <c r="G107">
        <f t="shared" si="1"/>
        <v>-1.1382272139434343E-2</v>
      </c>
    </row>
    <row r="108" spans="1:7" x14ac:dyDescent="0.35">
      <c r="A108" s="2">
        <v>44823</v>
      </c>
      <c r="B108">
        <v>17622.25</v>
      </c>
      <c r="C108">
        <v>3873.330078</v>
      </c>
      <c r="F108">
        <f t="shared" si="1"/>
        <v>5.2001443960003283E-3</v>
      </c>
      <c r="G108">
        <f t="shared" si="1"/>
        <v>-7.2080498960456181E-3</v>
      </c>
    </row>
    <row r="109" spans="1:7" x14ac:dyDescent="0.35">
      <c r="A109" s="2">
        <v>44824</v>
      </c>
      <c r="B109">
        <v>17816.25</v>
      </c>
      <c r="C109">
        <v>3899.889893</v>
      </c>
      <c r="F109">
        <f t="shared" si="1"/>
        <v>1.0948654031257964E-2</v>
      </c>
      <c r="G109">
        <f t="shared" si="1"/>
        <v>6.8336978651538068E-3</v>
      </c>
    </row>
    <row r="110" spans="1:7" x14ac:dyDescent="0.35">
      <c r="A110" s="2">
        <v>44825</v>
      </c>
      <c r="B110">
        <v>17718.349609000001</v>
      </c>
      <c r="C110">
        <v>3855.929932</v>
      </c>
      <c r="F110">
        <f t="shared" si="1"/>
        <v>-5.5101585373223917E-3</v>
      </c>
      <c r="G110">
        <f t="shared" si="1"/>
        <v>-1.1336114751575919E-2</v>
      </c>
    </row>
    <row r="111" spans="1:7" x14ac:dyDescent="0.35">
      <c r="A111" s="2">
        <v>44826</v>
      </c>
      <c r="B111">
        <v>17629.800781000002</v>
      </c>
      <c r="C111">
        <v>3789.929932</v>
      </c>
      <c r="F111">
        <f t="shared" si="1"/>
        <v>-5.0101073038478832E-3</v>
      </c>
      <c r="G111">
        <f t="shared" si="1"/>
        <v>-1.726467409688329E-2</v>
      </c>
    </row>
    <row r="112" spans="1:7" x14ac:dyDescent="0.35">
      <c r="A112" s="2">
        <v>44827</v>
      </c>
      <c r="B112">
        <v>17327.349609000001</v>
      </c>
      <c r="C112">
        <v>3757.98999</v>
      </c>
      <c r="F112">
        <f t="shared" si="1"/>
        <v>-1.7304540898369018E-2</v>
      </c>
      <c r="G112">
        <f t="shared" si="1"/>
        <v>-8.463293987644711E-3</v>
      </c>
    </row>
    <row r="113" spans="1:7" x14ac:dyDescent="0.35">
      <c r="A113" s="2">
        <v>44830</v>
      </c>
      <c r="B113">
        <v>17016.300781000002</v>
      </c>
      <c r="C113">
        <v>3693.2299800000001</v>
      </c>
      <c r="F113">
        <f t="shared" si="1"/>
        <v>-1.8114401342430666E-2</v>
      </c>
      <c r="G113">
        <f t="shared" si="1"/>
        <v>-1.7382828831885026E-2</v>
      </c>
    </row>
    <row r="114" spans="1:7" x14ac:dyDescent="0.35">
      <c r="A114" s="2">
        <v>44831</v>
      </c>
      <c r="B114">
        <v>17007.400390999999</v>
      </c>
      <c r="C114">
        <v>3655.040039</v>
      </c>
      <c r="F114">
        <f t="shared" si="1"/>
        <v>-5.2318765427839323E-4</v>
      </c>
      <c r="G114">
        <f t="shared" si="1"/>
        <v>-1.0394360780458715E-2</v>
      </c>
    </row>
    <row r="115" spans="1:7" x14ac:dyDescent="0.35">
      <c r="A115" s="2">
        <v>44832</v>
      </c>
      <c r="B115">
        <v>16858.599609000001</v>
      </c>
      <c r="C115">
        <v>3647.290039</v>
      </c>
      <c r="F115">
        <f t="shared" si="1"/>
        <v>-8.787677291228535E-3</v>
      </c>
      <c r="G115">
        <f t="shared" si="1"/>
        <v>-2.1226109548611099E-3</v>
      </c>
    </row>
    <row r="116" spans="1:7" x14ac:dyDescent="0.35">
      <c r="A116" s="2">
        <v>44833</v>
      </c>
      <c r="B116">
        <v>16818.099609000001</v>
      </c>
      <c r="C116">
        <v>3719.040039</v>
      </c>
      <c r="F116">
        <f t="shared" si="1"/>
        <v>-2.4052250051328542E-3</v>
      </c>
      <c r="G116">
        <f t="shared" si="1"/>
        <v>1.9481144181483136E-2</v>
      </c>
    </row>
    <row r="117" spans="1:7" x14ac:dyDescent="0.35">
      <c r="A117" s="2">
        <v>44834</v>
      </c>
      <c r="B117">
        <v>17094.349609000001</v>
      </c>
      <c r="C117">
        <v>3640.469971</v>
      </c>
      <c r="F117">
        <f t="shared" si="1"/>
        <v>1.6292312527142225E-2</v>
      </c>
      <c r="G117">
        <f t="shared" si="1"/>
        <v>-2.1352794724743534E-2</v>
      </c>
    </row>
    <row r="118" spans="1:7" x14ac:dyDescent="0.35">
      <c r="A118" s="2">
        <v>44837</v>
      </c>
      <c r="B118">
        <v>16887.349609000001</v>
      </c>
      <c r="C118">
        <v>3585.6201169999999</v>
      </c>
      <c r="F118">
        <f t="shared" si="1"/>
        <v>-1.2183178897593006E-2</v>
      </c>
      <c r="G118">
        <f t="shared" si="1"/>
        <v>-1.5181351680050055E-2</v>
      </c>
    </row>
    <row r="119" spans="1:7" x14ac:dyDescent="0.35">
      <c r="A119" s="2">
        <v>44838</v>
      </c>
      <c r="B119">
        <v>17274.300781000002</v>
      </c>
      <c r="C119">
        <v>3678.429932</v>
      </c>
      <c r="F119">
        <f t="shared" si="1"/>
        <v>2.2655095276284076E-2</v>
      </c>
      <c r="G119">
        <f t="shared" si="1"/>
        <v>2.5554577680920312E-2</v>
      </c>
    </row>
    <row r="120" spans="1:7" x14ac:dyDescent="0.35">
      <c r="A120" s="2">
        <v>44840</v>
      </c>
      <c r="B120">
        <v>17331.800781000002</v>
      </c>
      <c r="C120">
        <v>3790.929932</v>
      </c>
      <c r="F120">
        <f t="shared" si="1"/>
        <v>3.3231164632538412E-3</v>
      </c>
      <c r="G120">
        <f t="shared" si="1"/>
        <v>3.0125341413900452E-2</v>
      </c>
    </row>
    <row r="121" spans="1:7" x14ac:dyDescent="0.35">
      <c r="A121" s="2">
        <v>44841</v>
      </c>
      <c r="B121">
        <v>17314.650390999999</v>
      </c>
      <c r="C121">
        <v>3783.280029</v>
      </c>
      <c r="F121">
        <f t="shared" si="1"/>
        <v>-9.9002297901643402E-4</v>
      </c>
      <c r="G121">
        <f t="shared" si="1"/>
        <v>-2.0199877322069999E-3</v>
      </c>
    </row>
    <row r="122" spans="1:7" x14ac:dyDescent="0.35">
      <c r="A122" s="2">
        <v>44844</v>
      </c>
      <c r="B122">
        <v>17241</v>
      </c>
      <c r="C122">
        <v>3744.5200199999999</v>
      </c>
      <c r="F122">
        <f t="shared" si="1"/>
        <v>-4.2627183508505105E-3</v>
      </c>
      <c r="G122">
        <f t="shared" si="1"/>
        <v>-1.0297922707741995E-2</v>
      </c>
    </row>
    <row r="123" spans="1:7" x14ac:dyDescent="0.35">
      <c r="A123" s="2">
        <v>44845</v>
      </c>
      <c r="B123">
        <v>16983.550781000002</v>
      </c>
      <c r="C123">
        <v>3639.6599120000001</v>
      </c>
      <c r="F123">
        <f t="shared" si="1"/>
        <v>-1.5044993683298553E-2</v>
      </c>
      <c r="G123">
        <f t="shared" si="1"/>
        <v>-2.8403196686711915E-2</v>
      </c>
    </row>
    <row r="124" spans="1:7" x14ac:dyDescent="0.35">
      <c r="A124" s="2">
        <v>44846</v>
      </c>
      <c r="B124">
        <v>17123.599609000001</v>
      </c>
      <c r="C124">
        <v>3612.389893</v>
      </c>
      <c r="F124">
        <f t="shared" si="1"/>
        <v>8.212331637209587E-3</v>
      </c>
      <c r="G124">
        <f t="shared" si="1"/>
        <v>-7.5206729868162936E-3</v>
      </c>
    </row>
    <row r="125" spans="1:7" x14ac:dyDescent="0.35">
      <c r="A125" s="2">
        <v>44847</v>
      </c>
      <c r="B125">
        <v>17014.349609000001</v>
      </c>
      <c r="C125">
        <v>3588.8400879999999</v>
      </c>
      <c r="F125">
        <f t="shared" si="1"/>
        <v>-6.4005234918923983E-3</v>
      </c>
      <c r="G125">
        <f t="shared" si="1"/>
        <v>-6.5405184986329678E-3</v>
      </c>
    </row>
    <row r="126" spans="1:7" x14ac:dyDescent="0.35">
      <c r="A126" s="2">
        <v>44848</v>
      </c>
      <c r="B126">
        <v>17185.699218999998</v>
      </c>
      <c r="C126">
        <v>3577.030029</v>
      </c>
      <c r="F126">
        <f t="shared" si="1"/>
        <v>1.0020514569285821E-2</v>
      </c>
      <c r="G126">
        <f t="shared" si="1"/>
        <v>-3.296199763637455E-3</v>
      </c>
    </row>
    <row r="127" spans="1:7" x14ac:dyDescent="0.35">
      <c r="A127" s="2">
        <v>44851</v>
      </c>
      <c r="B127">
        <v>17311.800781000002</v>
      </c>
      <c r="C127">
        <v>3669.9099120000001</v>
      </c>
      <c r="F127">
        <f t="shared" si="1"/>
        <v>7.3107978058344668E-3</v>
      </c>
      <c r="G127">
        <f t="shared" si="1"/>
        <v>2.5634259360822767E-2</v>
      </c>
    </row>
    <row r="128" spans="1:7" x14ac:dyDescent="0.35">
      <c r="A128" s="2">
        <v>44852</v>
      </c>
      <c r="B128">
        <v>17486.949218999998</v>
      </c>
      <c r="C128">
        <v>3583.070068</v>
      </c>
      <c r="F128">
        <f t="shared" si="1"/>
        <v>1.0066448767820283E-2</v>
      </c>
      <c r="G128">
        <f t="shared" si="1"/>
        <v>-2.394712081502335E-2</v>
      </c>
    </row>
    <row r="129" spans="1:7" x14ac:dyDescent="0.35">
      <c r="A129" s="2">
        <v>44853</v>
      </c>
      <c r="B129">
        <v>17512.25</v>
      </c>
      <c r="C129">
        <v>3677.9499510000001</v>
      </c>
      <c r="F129">
        <f t="shared" si="1"/>
        <v>1.4457922450685507E-3</v>
      </c>
      <c r="G129">
        <f t="shared" si="1"/>
        <v>2.6135524611128742E-2</v>
      </c>
    </row>
    <row r="130" spans="1:7" x14ac:dyDescent="0.35">
      <c r="A130" s="2">
        <v>44854</v>
      </c>
      <c r="B130">
        <v>17563.949218999998</v>
      </c>
      <c r="C130">
        <v>3719.9799800000001</v>
      </c>
      <c r="F130">
        <f t="shared" si="1"/>
        <v>2.9478254536448572E-3</v>
      </c>
      <c r="G130">
        <f t="shared" si="1"/>
        <v>1.1362768127809775E-2</v>
      </c>
    </row>
    <row r="131" spans="1:7" x14ac:dyDescent="0.35">
      <c r="A131" s="2">
        <v>44855</v>
      </c>
      <c r="B131">
        <v>17576.300781000002</v>
      </c>
      <c r="C131">
        <v>3695.1599120000001</v>
      </c>
      <c r="F131">
        <f t="shared" si="1"/>
        <v>7.0298660417456211E-4</v>
      </c>
      <c r="G131">
        <f t="shared" si="1"/>
        <v>-6.6944551432751723E-3</v>
      </c>
    </row>
    <row r="132" spans="1:7" x14ac:dyDescent="0.35">
      <c r="A132" s="2">
        <v>44858</v>
      </c>
      <c r="B132">
        <v>17730.75</v>
      </c>
      <c r="C132">
        <v>3665.780029</v>
      </c>
      <c r="F132">
        <f t="shared" ref="F132:G195" si="2">LN(B132/B131)</f>
        <v>8.7489722743186327E-3</v>
      </c>
      <c r="G132">
        <f t="shared" si="2"/>
        <v>-7.9826867901527064E-3</v>
      </c>
    </row>
    <row r="133" spans="1:7" x14ac:dyDescent="0.35">
      <c r="A133" s="2">
        <v>44859</v>
      </c>
      <c r="B133">
        <v>17656.349609000001</v>
      </c>
      <c r="C133">
        <v>3752.75</v>
      </c>
      <c r="F133">
        <f t="shared" si="2"/>
        <v>-4.2049504733975805E-3</v>
      </c>
      <c r="G133">
        <f t="shared" si="2"/>
        <v>2.3447759941432694E-2</v>
      </c>
    </row>
    <row r="134" spans="1:7" x14ac:dyDescent="0.35">
      <c r="A134" s="2">
        <v>44861</v>
      </c>
      <c r="B134">
        <v>17736.949218999998</v>
      </c>
      <c r="C134">
        <v>3797.3400879999999</v>
      </c>
      <c r="F134">
        <f t="shared" si="2"/>
        <v>4.5545203186163844E-3</v>
      </c>
      <c r="G134">
        <f t="shared" si="2"/>
        <v>1.181194023391461E-2</v>
      </c>
    </row>
    <row r="135" spans="1:7" x14ac:dyDescent="0.35">
      <c r="A135" s="2">
        <v>44862</v>
      </c>
      <c r="B135">
        <v>17786.800781000002</v>
      </c>
      <c r="C135">
        <v>3859.110107</v>
      </c>
      <c r="F135">
        <f t="shared" si="2"/>
        <v>2.8066628509026714E-3</v>
      </c>
      <c r="G135">
        <f t="shared" si="2"/>
        <v>1.6135769877752698E-2</v>
      </c>
    </row>
    <row r="136" spans="1:7" x14ac:dyDescent="0.35">
      <c r="A136" s="2">
        <v>44865</v>
      </c>
      <c r="B136">
        <v>18012.199218999998</v>
      </c>
      <c r="C136">
        <v>3830.6000979999999</v>
      </c>
      <c r="F136">
        <f t="shared" si="2"/>
        <v>1.2592609654815042E-2</v>
      </c>
      <c r="G136">
        <f t="shared" si="2"/>
        <v>-7.4151401999326934E-3</v>
      </c>
    </row>
    <row r="137" spans="1:7" x14ac:dyDescent="0.35">
      <c r="A137" s="2">
        <v>44866</v>
      </c>
      <c r="B137">
        <v>18145.400390999999</v>
      </c>
      <c r="C137">
        <v>3807.3000489999999</v>
      </c>
      <c r="F137">
        <f t="shared" si="2"/>
        <v>7.3678438837951757E-3</v>
      </c>
      <c r="G137">
        <f t="shared" si="2"/>
        <v>-6.1011850977788036E-3</v>
      </c>
    </row>
    <row r="138" spans="1:7" x14ac:dyDescent="0.35">
      <c r="A138" s="2">
        <v>44867</v>
      </c>
      <c r="B138">
        <v>18082.849609000001</v>
      </c>
      <c r="C138">
        <v>3901.0600589999999</v>
      </c>
      <c r="F138">
        <f t="shared" si="2"/>
        <v>-3.4531529486517124E-3</v>
      </c>
      <c r="G138">
        <f t="shared" si="2"/>
        <v>2.4328036829851157E-2</v>
      </c>
    </row>
    <row r="139" spans="1:7" x14ac:dyDescent="0.35">
      <c r="A139" s="2">
        <v>44868</v>
      </c>
      <c r="B139">
        <v>18052.699218999998</v>
      </c>
      <c r="C139">
        <v>3871.9799800000001</v>
      </c>
      <c r="F139">
        <f t="shared" si="2"/>
        <v>-1.668738844407032E-3</v>
      </c>
      <c r="G139">
        <f t="shared" si="2"/>
        <v>-7.4823272555367918E-3</v>
      </c>
    </row>
    <row r="140" spans="1:7" x14ac:dyDescent="0.35">
      <c r="A140" s="2">
        <v>44869</v>
      </c>
      <c r="B140">
        <v>18117.150390999999</v>
      </c>
      <c r="C140">
        <v>3856.1000979999999</v>
      </c>
      <c r="F140">
        <f t="shared" si="2"/>
        <v>3.5638102402827747E-3</v>
      </c>
      <c r="G140">
        <f t="shared" si="2"/>
        <v>-4.1096635101525803E-3</v>
      </c>
    </row>
    <row r="141" spans="1:7" x14ac:dyDescent="0.35">
      <c r="A141" s="2">
        <v>44872</v>
      </c>
      <c r="B141">
        <v>18202.800781000002</v>
      </c>
      <c r="C141">
        <v>3759.6899410000001</v>
      </c>
      <c r="F141">
        <f t="shared" si="2"/>
        <v>4.7164462511404557E-3</v>
      </c>
      <c r="G141">
        <f t="shared" si="2"/>
        <v>-2.5319843934681438E-2</v>
      </c>
    </row>
    <row r="142" spans="1:7" x14ac:dyDescent="0.35">
      <c r="A142" s="2">
        <v>44874</v>
      </c>
      <c r="B142">
        <v>18157</v>
      </c>
      <c r="C142">
        <v>3719.889893</v>
      </c>
      <c r="F142">
        <f t="shared" si="2"/>
        <v>-2.5193100204462114E-3</v>
      </c>
      <c r="G142">
        <f t="shared" si="2"/>
        <v>-1.0642422310491896E-2</v>
      </c>
    </row>
    <row r="143" spans="1:7" x14ac:dyDescent="0.35">
      <c r="A143" s="2">
        <v>44875</v>
      </c>
      <c r="B143">
        <v>18028.199218999998</v>
      </c>
      <c r="C143">
        <v>3770.5500489999999</v>
      </c>
      <c r="F143">
        <f t="shared" si="2"/>
        <v>-7.1190059886798796E-3</v>
      </c>
      <c r="G143">
        <f t="shared" si="2"/>
        <v>1.3526823217736886E-2</v>
      </c>
    </row>
    <row r="144" spans="1:7" x14ac:dyDescent="0.35">
      <c r="A144" s="2">
        <v>44876</v>
      </c>
      <c r="B144">
        <v>18349.699218999998</v>
      </c>
      <c r="C144">
        <v>3806.8000489999999</v>
      </c>
      <c r="F144">
        <f t="shared" si="2"/>
        <v>1.7676027731239826E-2</v>
      </c>
      <c r="G144">
        <f t="shared" si="2"/>
        <v>9.5680616789252174E-3</v>
      </c>
    </row>
    <row r="145" spans="1:7" x14ac:dyDescent="0.35">
      <c r="A145" s="2">
        <v>44879</v>
      </c>
      <c r="B145">
        <v>18329.150390999999</v>
      </c>
      <c r="C145">
        <v>3828.110107</v>
      </c>
      <c r="F145">
        <f t="shared" si="2"/>
        <v>-1.1204729902024174E-3</v>
      </c>
      <c r="G145">
        <f t="shared" si="2"/>
        <v>5.5822826734064964E-3</v>
      </c>
    </row>
    <row r="146" spans="1:7" x14ac:dyDescent="0.35">
      <c r="A146" s="2">
        <v>44880</v>
      </c>
      <c r="B146">
        <v>18403.400390999999</v>
      </c>
      <c r="C146">
        <v>3748.570068</v>
      </c>
      <c r="F146">
        <f t="shared" si="2"/>
        <v>4.0427413586184716E-3</v>
      </c>
      <c r="G146">
        <f t="shared" si="2"/>
        <v>-2.0996784697968826E-2</v>
      </c>
    </row>
    <row r="147" spans="1:7" x14ac:dyDescent="0.35">
      <c r="A147" s="2">
        <v>44881</v>
      </c>
      <c r="B147">
        <v>18409.650390999999</v>
      </c>
      <c r="C147">
        <v>3956.3701169999999</v>
      </c>
      <c r="F147">
        <f t="shared" si="2"/>
        <v>3.3955349677827794E-4</v>
      </c>
      <c r="G147">
        <f t="shared" si="2"/>
        <v>5.3952515713275633E-2</v>
      </c>
    </row>
    <row r="148" spans="1:7" x14ac:dyDescent="0.35">
      <c r="A148" s="2">
        <v>44882</v>
      </c>
      <c r="B148">
        <v>18343.900390999999</v>
      </c>
      <c r="C148">
        <v>3992.929932</v>
      </c>
      <c r="F148">
        <f t="shared" si="2"/>
        <v>-3.5778894142985745E-3</v>
      </c>
      <c r="G148">
        <f t="shared" si="2"/>
        <v>9.1983124421638109E-3</v>
      </c>
    </row>
    <row r="149" spans="1:7" x14ac:dyDescent="0.35">
      <c r="A149" s="2">
        <v>44883</v>
      </c>
      <c r="B149">
        <v>18307.650390999999</v>
      </c>
      <c r="C149">
        <v>3957.25</v>
      </c>
      <c r="F149">
        <f t="shared" si="2"/>
        <v>-1.9780888418956572E-3</v>
      </c>
      <c r="G149">
        <f t="shared" si="2"/>
        <v>-8.9759406349209057E-3</v>
      </c>
    </row>
    <row r="150" spans="1:7" x14ac:dyDescent="0.35">
      <c r="A150" s="2">
        <v>44886</v>
      </c>
      <c r="B150">
        <v>18159.949218999998</v>
      </c>
      <c r="C150">
        <v>3991.7299800000001</v>
      </c>
      <c r="F150">
        <f t="shared" si="2"/>
        <v>-8.100449781425165E-3</v>
      </c>
      <c r="G150">
        <f t="shared" si="2"/>
        <v>8.6753762972389022E-3</v>
      </c>
    </row>
    <row r="151" spans="1:7" x14ac:dyDescent="0.35">
      <c r="A151" s="2">
        <v>44887</v>
      </c>
      <c r="B151">
        <v>18244.199218999998</v>
      </c>
      <c r="C151">
        <v>3958.790039</v>
      </c>
      <c r="F151">
        <f t="shared" si="2"/>
        <v>4.6286016307969463E-3</v>
      </c>
      <c r="G151">
        <f t="shared" si="2"/>
        <v>-8.2862830102311893E-3</v>
      </c>
    </row>
    <row r="152" spans="1:7" x14ac:dyDescent="0.35">
      <c r="A152" s="2">
        <v>44888</v>
      </c>
      <c r="B152">
        <v>18267.25</v>
      </c>
      <c r="C152">
        <v>3946.5600589999999</v>
      </c>
      <c r="F152">
        <f t="shared" si="2"/>
        <v>1.2626605930788001E-3</v>
      </c>
      <c r="G152">
        <f t="shared" si="2"/>
        <v>-3.094104525503846E-3</v>
      </c>
    </row>
    <row r="153" spans="1:7" x14ac:dyDescent="0.35">
      <c r="A153" s="2">
        <v>44889</v>
      </c>
      <c r="B153">
        <v>18484.099609000001</v>
      </c>
      <c r="C153">
        <v>3965.3400879999999</v>
      </c>
      <c r="F153">
        <f t="shared" si="2"/>
        <v>1.1801042841926733E-2</v>
      </c>
      <c r="G153">
        <f t="shared" si="2"/>
        <v>4.7472955728031351E-3</v>
      </c>
    </row>
    <row r="154" spans="1:7" x14ac:dyDescent="0.35">
      <c r="A154" s="2">
        <v>44890</v>
      </c>
      <c r="B154">
        <v>18512.75</v>
      </c>
      <c r="C154">
        <v>3949.9399410000001</v>
      </c>
      <c r="F154">
        <f t="shared" si="2"/>
        <v>1.5488019671931251E-3</v>
      </c>
      <c r="G154">
        <f t="shared" si="2"/>
        <v>-3.8912499307080248E-3</v>
      </c>
    </row>
    <row r="155" spans="1:7" x14ac:dyDescent="0.35">
      <c r="A155" s="2">
        <v>44893</v>
      </c>
      <c r="B155">
        <v>18562.75</v>
      </c>
      <c r="C155">
        <v>4003.580078</v>
      </c>
      <c r="F155">
        <f t="shared" si="2"/>
        <v>2.6972005940332764E-3</v>
      </c>
      <c r="G155">
        <f t="shared" si="2"/>
        <v>1.3488606341456058E-2</v>
      </c>
    </row>
    <row r="156" spans="1:7" x14ac:dyDescent="0.35">
      <c r="A156" s="2">
        <v>44894</v>
      </c>
      <c r="B156">
        <v>18618.050781000002</v>
      </c>
      <c r="C156">
        <v>4027.26001</v>
      </c>
      <c r="F156">
        <f t="shared" si="2"/>
        <v>2.9746977266382137E-3</v>
      </c>
      <c r="G156">
        <f t="shared" si="2"/>
        <v>5.8972661311574737E-3</v>
      </c>
    </row>
    <row r="157" spans="1:7" x14ac:dyDescent="0.35">
      <c r="A157" s="2">
        <v>44895</v>
      </c>
      <c r="B157">
        <v>18758.349609000001</v>
      </c>
      <c r="C157">
        <v>4026.1201169999999</v>
      </c>
      <c r="F157">
        <f t="shared" si="2"/>
        <v>7.5073835619116095E-3</v>
      </c>
      <c r="G157">
        <f t="shared" si="2"/>
        <v>-2.8308436697046179E-4</v>
      </c>
    </row>
    <row r="158" spans="1:7" x14ac:dyDescent="0.35">
      <c r="A158" s="2">
        <v>44896</v>
      </c>
      <c r="B158">
        <v>18812.5</v>
      </c>
      <c r="C158">
        <v>3963.9399410000001</v>
      </c>
      <c r="F158">
        <f t="shared" si="2"/>
        <v>2.8825767348511656E-3</v>
      </c>
      <c r="G158">
        <f t="shared" si="2"/>
        <v>-1.5564696849980235E-2</v>
      </c>
    </row>
    <row r="159" spans="1:7" x14ac:dyDescent="0.35">
      <c r="A159" s="2">
        <v>44897</v>
      </c>
      <c r="B159">
        <v>18696.099609000001</v>
      </c>
      <c r="C159">
        <v>3957.6298830000001</v>
      </c>
      <c r="F159">
        <f t="shared" si="2"/>
        <v>-6.206617462596915E-3</v>
      </c>
      <c r="G159">
        <f t="shared" si="2"/>
        <v>-1.5931335517611624E-3</v>
      </c>
    </row>
    <row r="160" spans="1:7" x14ac:dyDescent="0.35">
      <c r="A160" s="2">
        <v>44900</v>
      </c>
      <c r="B160">
        <v>18701.050781000002</v>
      </c>
      <c r="C160">
        <v>4080.110107</v>
      </c>
      <c r="F160">
        <f t="shared" si="2"/>
        <v>2.647887326866388E-4</v>
      </c>
      <c r="G160">
        <f t="shared" si="2"/>
        <v>3.0478643370520111E-2</v>
      </c>
    </row>
    <row r="161" spans="1:7" x14ac:dyDescent="0.35">
      <c r="A161" s="2">
        <v>44901</v>
      </c>
      <c r="B161">
        <v>18642.75</v>
      </c>
      <c r="C161">
        <v>4076.570068</v>
      </c>
      <c r="F161">
        <f t="shared" si="2"/>
        <v>-3.122383214700999E-3</v>
      </c>
      <c r="G161">
        <f t="shared" si="2"/>
        <v>-8.6800981436487956E-4</v>
      </c>
    </row>
    <row r="162" spans="1:7" x14ac:dyDescent="0.35">
      <c r="A162" s="2">
        <v>44902</v>
      </c>
      <c r="B162">
        <v>18560.5</v>
      </c>
      <c r="C162">
        <v>4071.6999510000001</v>
      </c>
      <c r="F162">
        <f t="shared" si="2"/>
        <v>-4.4216639141222676E-3</v>
      </c>
      <c r="G162">
        <f t="shared" si="2"/>
        <v>-1.195374617817392E-3</v>
      </c>
    </row>
    <row r="163" spans="1:7" x14ac:dyDescent="0.35">
      <c r="A163" s="2">
        <v>44903</v>
      </c>
      <c r="B163">
        <v>18609.349609000001</v>
      </c>
      <c r="C163">
        <v>3998.8400879999999</v>
      </c>
      <c r="F163">
        <f t="shared" si="2"/>
        <v>2.6284549245213147E-3</v>
      </c>
      <c r="G163">
        <f t="shared" si="2"/>
        <v>-1.8056249561408524E-2</v>
      </c>
    </row>
    <row r="164" spans="1:7" x14ac:dyDescent="0.35">
      <c r="A164" s="2">
        <v>44904</v>
      </c>
      <c r="B164">
        <v>18496.599609000001</v>
      </c>
      <c r="C164">
        <v>3941.26001</v>
      </c>
      <c r="F164">
        <f t="shared" si="2"/>
        <v>-6.0772113037162534E-3</v>
      </c>
      <c r="G164">
        <f t="shared" si="2"/>
        <v>-1.4503869390870719E-2</v>
      </c>
    </row>
    <row r="165" spans="1:7" x14ac:dyDescent="0.35">
      <c r="A165" s="2">
        <v>44907</v>
      </c>
      <c r="B165">
        <v>18497.150390999999</v>
      </c>
      <c r="C165">
        <v>3933.919922</v>
      </c>
      <c r="F165">
        <f t="shared" si="2"/>
        <v>2.9777029905906608E-5</v>
      </c>
      <c r="G165">
        <f t="shared" si="2"/>
        <v>-1.8641072810736824E-3</v>
      </c>
    </row>
    <row r="166" spans="1:7" x14ac:dyDescent="0.35">
      <c r="A166" s="2">
        <v>44908</v>
      </c>
      <c r="B166">
        <v>18608</v>
      </c>
      <c r="C166">
        <v>3963.51001</v>
      </c>
      <c r="F166">
        <f t="shared" si="2"/>
        <v>5.9749084752369142E-3</v>
      </c>
      <c r="G166">
        <f t="shared" si="2"/>
        <v>7.4936344412916264E-3</v>
      </c>
    </row>
    <row r="167" spans="1:7" x14ac:dyDescent="0.35">
      <c r="A167" s="2">
        <v>44909</v>
      </c>
      <c r="B167">
        <v>18660.300781000002</v>
      </c>
      <c r="C167">
        <v>3934.3798830000001</v>
      </c>
      <c r="F167">
        <f t="shared" si="2"/>
        <v>2.8067185376308484E-3</v>
      </c>
      <c r="G167">
        <f t="shared" si="2"/>
        <v>-7.3767194756895575E-3</v>
      </c>
    </row>
    <row r="168" spans="1:7" x14ac:dyDescent="0.35">
      <c r="A168" s="2">
        <v>44910</v>
      </c>
      <c r="B168">
        <v>18414.900390999999</v>
      </c>
      <c r="C168">
        <v>3990.5600589999999</v>
      </c>
      <c r="F168">
        <f t="shared" si="2"/>
        <v>-1.3238173554537783E-2</v>
      </c>
      <c r="G168">
        <f t="shared" si="2"/>
        <v>1.4178307353796042E-2</v>
      </c>
    </row>
    <row r="169" spans="1:7" x14ac:dyDescent="0.35">
      <c r="A169" s="2">
        <v>44911</v>
      </c>
      <c r="B169">
        <v>18269</v>
      </c>
      <c r="C169">
        <v>4019.6499020000001</v>
      </c>
      <c r="F169">
        <f t="shared" si="2"/>
        <v>-7.9545064049689612E-3</v>
      </c>
      <c r="G169">
        <f t="shared" si="2"/>
        <v>7.2632230681369796E-3</v>
      </c>
    </row>
    <row r="170" spans="1:7" x14ac:dyDescent="0.35">
      <c r="A170" s="2">
        <v>44914</v>
      </c>
      <c r="B170">
        <v>18420.449218999998</v>
      </c>
      <c r="C170">
        <v>3995.320068</v>
      </c>
      <c r="F170">
        <f t="shared" si="2"/>
        <v>8.2557837432170999E-3</v>
      </c>
      <c r="G170">
        <f t="shared" si="2"/>
        <v>-6.0711166282675956E-3</v>
      </c>
    </row>
    <row r="171" spans="1:7" x14ac:dyDescent="0.35">
      <c r="A171" s="2">
        <v>44915</v>
      </c>
      <c r="B171">
        <v>18385.300781000002</v>
      </c>
      <c r="C171">
        <v>3895.75</v>
      </c>
      <c r="F171">
        <f t="shared" si="2"/>
        <v>-1.9099433476986614E-3</v>
      </c>
      <c r="G171">
        <f t="shared" si="2"/>
        <v>-2.523747781187699E-2</v>
      </c>
    </row>
    <row r="172" spans="1:7" x14ac:dyDescent="0.35">
      <c r="A172" s="2">
        <v>44916</v>
      </c>
      <c r="B172">
        <v>18199.099609000001</v>
      </c>
      <c r="C172">
        <v>3852.360107</v>
      </c>
      <c r="F172">
        <f t="shared" si="2"/>
        <v>-1.0179353923949827E-2</v>
      </c>
      <c r="G172">
        <f t="shared" si="2"/>
        <v>-1.1200240055522422E-2</v>
      </c>
    </row>
    <row r="173" spans="1:7" x14ac:dyDescent="0.35">
      <c r="A173" s="2">
        <v>44917</v>
      </c>
      <c r="B173">
        <v>18127.349609000001</v>
      </c>
      <c r="C173">
        <v>3817.6599120000001</v>
      </c>
      <c r="F173">
        <f t="shared" si="2"/>
        <v>-3.9502948869717903E-3</v>
      </c>
      <c r="G173">
        <f t="shared" si="2"/>
        <v>-9.0483288602426527E-3</v>
      </c>
    </row>
    <row r="174" spans="1:7" x14ac:dyDescent="0.35">
      <c r="A174" s="2">
        <v>44918</v>
      </c>
      <c r="B174">
        <v>17806.800781000002</v>
      </c>
      <c r="C174">
        <v>3821.6201169999999</v>
      </c>
      <c r="F174">
        <f t="shared" si="2"/>
        <v>-1.7841375261437184E-2</v>
      </c>
      <c r="G174">
        <f t="shared" si="2"/>
        <v>1.0368006774774017E-3</v>
      </c>
    </row>
    <row r="175" spans="1:7" x14ac:dyDescent="0.35">
      <c r="A175" s="2">
        <v>44921</v>
      </c>
      <c r="B175">
        <v>18014.599609000001</v>
      </c>
      <c r="C175">
        <v>3878.4399410000001</v>
      </c>
      <c r="F175">
        <f t="shared" si="2"/>
        <v>1.1602067852217653E-2</v>
      </c>
      <c r="G175">
        <f t="shared" si="2"/>
        <v>1.475854861337161E-2</v>
      </c>
    </row>
    <row r="176" spans="1:7" x14ac:dyDescent="0.35">
      <c r="A176" s="2">
        <v>44922</v>
      </c>
      <c r="B176">
        <v>18132.300781000002</v>
      </c>
      <c r="C176">
        <v>3822.389893</v>
      </c>
      <c r="F176">
        <f t="shared" si="2"/>
        <v>6.5124028184427333E-3</v>
      </c>
      <c r="G176">
        <f t="shared" si="2"/>
        <v>-1.4557142283030462E-2</v>
      </c>
    </row>
    <row r="177" spans="1:7" x14ac:dyDescent="0.35">
      <c r="A177" s="2">
        <v>44923</v>
      </c>
      <c r="B177">
        <v>18122.5</v>
      </c>
      <c r="C177">
        <v>3844.820068</v>
      </c>
      <c r="F177">
        <f t="shared" si="2"/>
        <v>-5.4066115535690584E-4</v>
      </c>
      <c r="G177">
        <f t="shared" si="2"/>
        <v>5.8509520680756774E-3</v>
      </c>
    </row>
    <row r="178" spans="1:7" x14ac:dyDescent="0.35">
      <c r="A178" s="2">
        <v>44924</v>
      </c>
      <c r="B178">
        <v>18191</v>
      </c>
      <c r="C178">
        <v>3829.25</v>
      </c>
      <c r="F178">
        <f t="shared" si="2"/>
        <v>3.7727060871833766E-3</v>
      </c>
      <c r="G178">
        <f t="shared" si="2"/>
        <v>-4.0578439411895362E-3</v>
      </c>
    </row>
    <row r="179" spans="1:7" x14ac:dyDescent="0.35">
      <c r="A179" s="2">
        <v>44925</v>
      </c>
      <c r="B179">
        <v>18105.300781000002</v>
      </c>
      <c r="C179">
        <v>3783.219971</v>
      </c>
      <c r="F179">
        <f t="shared" si="2"/>
        <v>-4.7222100549313677E-3</v>
      </c>
      <c r="G179">
        <f t="shared" si="2"/>
        <v>-1.2093470364477122E-2</v>
      </c>
    </row>
    <row r="180" spans="1:7" x14ac:dyDescent="0.35">
      <c r="A180" s="2">
        <v>44928</v>
      </c>
      <c r="B180">
        <v>18197.449218999998</v>
      </c>
      <c r="C180">
        <v>3849.280029</v>
      </c>
      <c r="F180">
        <f t="shared" si="2"/>
        <v>5.0766752330822021E-3</v>
      </c>
      <c r="G180">
        <f t="shared" si="2"/>
        <v>1.7310634159397879E-2</v>
      </c>
    </row>
    <row r="181" spans="1:7" x14ac:dyDescent="0.35">
      <c r="A181" s="2">
        <v>44929</v>
      </c>
      <c r="B181">
        <v>18232.550781000002</v>
      </c>
      <c r="C181">
        <v>3839.5</v>
      </c>
      <c r="F181">
        <f t="shared" si="2"/>
        <v>1.9270696054218784E-3</v>
      </c>
      <c r="G181">
        <f t="shared" si="2"/>
        <v>-2.5439755689859712E-3</v>
      </c>
    </row>
    <row r="182" spans="1:7" x14ac:dyDescent="0.35">
      <c r="A182" s="2">
        <v>44930</v>
      </c>
      <c r="B182">
        <v>18042.949218999998</v>
      </c>
      <c r="C182">
        <v>3824.139893</v>
      </c>
      <c r="F182">
        <f t="shared" si="2"/>
        <v>-1.0453517584725534E-2</v>
      </c>
      <c r="G182">
        <f t="shared" si="2"/>
        <v>-4.0085723709547202E-3</v>
      </c>
    </row>
    <row r="183" spans="1:7" x14ac:dyDescent="0.35">
      <c r="A183" s="2">
        <v>44931</v>
      </c>
      <c r="B183">
        <v>17992.150390999999</v>
      </c>
      <c r="C183">
        <v>3852.969971</v>
      </c>
      <c r="F183">
        <f t="shared" si="2"/>
        <v>-2.8194100862814226E-3</v>
      </c>
      <c r="G183">
        <f t="shared" si="2"/>
        <v>7.5106945288709792E-3</v>
      </c>
    </row>
    <row r="184" spans="1:7" x14ac:dyDescent="0.35">
      <c r="A184" s="2">
        <v>44932</v>
      </c>
      <c r="B184">
        <v>17859.449218999998</v>
      </c>
      <c r="C184">
        <v>3808.1000979999999</v>
      </c>
      <c r="F184">
        <f t="shared" si="2"/>
        <v>-7.4028372216093756E-3</v>
      </c>
      <c r="G184">
        <f t="shared" si="2"/>
        <v>-1.1713869123240021E-2</v>
      </c>
    </row>
    <row r="185" spans="1:7" x14ac:dyDescent="0.35">
      <c r="A185" s="2">
        <v>44935</v>
      </c>
      <c r="B185">
        <v>18101.199218999998</v>
      </c>
      <c r="C185">
        <v>3895.080078</v>
      </c>
      <c r="F185">
        <f t="shared" si="2"/>
        <v>1.3445455099336265E-2</v>
      </c>
      <c r="G185">
        <f t="shared" si="2"/>
        <v>2.2583835466670914E-2</v>
      </c>
    </row>
    <row r="186" spans="1:7" x14ac:dyDescent="0.35">
      <c r="A186" s="2">
        <v>44936</v>
      </c>
      <c r="B186">
        <v>17914.150390999999</v>
      </c>
      <c r="C186">
        <v>3892.0900879999999</v>
      </c>
      <c r="F186">
        <f t="shared" si="2"/>
        <v>-1.0387266086815328E-2</v>
      </c>
      <c r="G186">
        <f t="shared" si="2"/>
        <v>-7.6792726579704015E-4</v>
      </c>
    </row>
    <row r="187" spans="1:7" x14ac:dyDescent="0.35">
      <c r="A187" s="2">
        <v>44937</v>
      </c>
      <c r="B187">
        <v>17895.699218999998</v>
      </c>
      <c r="C187">
        <v>3919.25</v>
      </c>
      <c r="F187">
        <f t="shared" si="2"/>
        <v>-1.0305083005819953E-3</v>
      </c>
      <c r="G187">
        <f t="shared" si="2"/>
        <v>6.9539979424920245E-3</v>
      </c>
    </row>
    <row r="188" spans="1:7" x14ac:dyDescent="0.35">
      <c r="A188" s="2">
        <v>44938</v>
      </c>
      <c r="B188">
        <v>17858.199218999998</v>
      </c>
      <c r="C188">
        <v>3969.610107</v>
      </c>
      <c r="F188">
        <f t="shared" si="2"/>
        <v>-2.0976741216494881E-3</v>
      </c>
      <c r="G188">
        <f t="shared" si="2"/>
        <v>1.2767571086017589E-2</v>
      </c>
    </row>
    <row r="189" spans="1:7" x14ac:dyDescent="0.35">
      <c r="A189" s="2">
        <v>44939</v>
      </c>
      <c r="B189">
        <v>17956.599609000001</v>
      </c>
      <c r="C189">
        <v>3983.169922</v>
      </c>
      <c r="F189">
        <f t="shared" si="2"/>
        <v>5.4949708398477461E-3</v>
      </c>
      <c r="G189">
        <f t="shared" si="2"/>
        <v>3.4100850497009007E-3</v>
      </c>
    </row>
    <row r="190" spans="1:7" x14ac:dyDescent="0.35">
      <c r="A190" s="2">
        <v>44942</v>
      </c>
      <c r="B190">
        <v>17894.849609000001</v>
      </c>
      <c r="C190">
        <v>3999.0900879999999</v>
      </c>
      <c r="F190">
        <f t="shared" si="2"/>
        <v>-3.4447734978497288E-3</v>
      </c>
      <c r="G190">
        <f t="shared" si="2"/>
        <v>3.9888921406240714E-3</v>
      </c>
    </row>
    <row r="191" spans="1:7" x14ac:dyDescent="0.35">
      <c r="A191" s="2">
        <v>44943</v>
      </c>
      <c r="B191">
        <v>18053.300781000002</v>
      </c>
      <c r="C191">
        <v>3990.969971</v>
      </c>
      <c r="F191">
        <f t="shared" si="2"/>
        <v>8.8155967105772986E-3</v>
      </c>
      <c r="G191">
        <f t="shared" si="2"/>
        <v>-2.0325553839595778E-3</v>
      </c>
    </row>
    <row r="192" spans="1:7" x14ac:dyDescent="0.35">
      <c r="A192" s="2">
        <v>44944</v>
      </c>
      <c r="B192">
        <v>18165.349609000001</v>
      </c>
      <c r="C192">
        <v>3928.860107</v>
      </c>
      <c r="F192">
        <f t="shared" si="2"/>
        <v>6.1873749718830036E-3</v>
      </c>
      <c r="G192">
        <f t="shared" si="2"/>
        <v>-1.5684967159509833E-2</v>
      </c>
    </row>
    <row r="193" spans="1:7" x14ac:dyDescent="0.35">
      <c r="A193" s="2">
        <v>44945</v>
      </c>
      <c r="B193">
        <v>18107.849609000001</v>
      </c>
      <c r="C193">
        <v>3898.8500979999999</v>
      </c>
      <c r="F193">
        <f t="shared" si="2"/>
        <v>-3.1703874707698847E-3</v>
      </c>
      <c r="G193">
        <f t="shared" si="2"/>
        <v>-7.6676717062670085E-3</v>
      </c>
    </row>
    <row r="194" spans="1:7" x14ac:dyDescent="0.35">
      <c r="A194" s="2">
        <v>44946</v>
      </c>
      <c r="B194">
        <v>18027.650390999999</v>
      </c>
      <c r="C194">
        <v>3972.610107</v>
      </c>
      <c r="F194">
        <f t="shared" si="2"/>
        <v>-4.4388122306735769E-3</v>
      </c>
      <c r="G194">
        <f t="shared" si="2"/>
        <v>1.8741673357988969E-2</v>
      </c>
    </row>
    <row r="195" spans="1:7" x14ac:dyDescent="0.35">
      <c r="A195" s="2">
        <v>44949</v>
      </c>
      <c r="B195">
        <v>18118.550781000002</v>
      </c>
      <c r="C195">
        <v>4019.8100589999999</v>
      </c>
      <c r="F195">
        <f t="shared" si="2"/>
        <v>5.0296063584950573E-3</v>
      </c>
      <c r="G195">
        <f t="shared" si="2"/>
        <v>1.1811316158586514E-2</v>
      </c>
    </row>
    <row r="196" spans="1:7" x14ac:dyDescent="0.35">
      <c r="A196" s="2">
        <v>44950</v>
      </c>
      <c r="B196">
        <v>18118.300781000002</v>
      </c>
      <c r="C196">
        <v>4016.9499510000001</v>
      </c>
      <c r="F196">
        <f t="shared" ref="F196:G248" si="3">LN(B196/B195)</f>
        <v>-1.3798108236700089E-5</v>
      </c>
      <c r="G196">
        <f t="shared" si="3"/>
        <v>-7.1175650814129393E-4</v>
      </c>
    </row>
    <row r="197" spans="1:7" x14ac:dyDescent="0.35">
      <c r="A197" s="2">
        <v>44951</v>
      </c>
      <c r="B197">
        <v>17891.949218999998</v>
      </c>
      <c r="C197">
        <v>4016.219971</v>
      </c>
      <c r="F197">
        <f t="shared" si="3"/>
        <v>-1.2571672963865974E-2</v>
      </c>
      <c r="G197">
        <f t="shared" si="3"/>
        <v>-1.8174145675923769E-4</v>
      </c>
    </row>
    <row r="198" spans="1:7" x14ac:dyDescent="0.35">
      <c r="A198" s="2">
        <v>44953</v>
      </c>
      <c r="B198">
        <v>17604.349609000001</v>
      </c>
      <c r="C198">
        <v>4060.429932</v>
      </c>
      <c r="F198">
        <f t="shared" si="3"/>
        <v>-1.6204838984913074E-2</v>
      </c>
      <c r="G198">
        <f t="shared" si="3"/>
        <v>1.0947708043701926E-2</v>
      </c>
    </row>
    <row r="199" spans="1:7" x14ac:dyDescent="0.35">
      <c r="A199" s="2">
        <v>44956</v>
      </c>
      <c r="B199">
        <v>17648.949218999998</v>
      </c>
      <c r="C199">
        <v>4070.5600589999999</v>
      </c>
      <c r="F199">
        <f t="shared" si="3"/>
        <v>2.5302388869699981E-3</v>
      </c>
      <c r="G199">
        <f t="shared" si="3"/>
        <v>2.491734032999062E-3</v>
      </c>
    </row>
    <row r="200" spans="1:7" x14ac:dyDescent="0.35">
      <c r="A200" s="2">
        <v>44957</v>
      </c>
      <c r="B200">
        <v>17662.150390999999</v>
      </c>
      <c r="C200">
        <v>4017.7700199999999</v>
      </c>
      <c r="F200">
        <f t="shared" si="3"/>
        <v>7.4770668491387746E-4</v>
      </c>
      <c r="G200">
        <f t="shared" si="3"/>
        <v>-1.3053569298425457E-2</v>
      </c>
    </row>
    <row r="201" spans="1:7" x14ac:dyDescent="0.35">
      <c r="A201" s="2">
        <v>44958</v>
      </c>
      <c r="B201">
        <v>17616.300781000002</v>
      </c>
      <c r="C201">
        <v>4076.6000979999999</v>
      </c>
      <c r="F201">
        <f t="shared" si="3"/>
        <v>-2.5992998156953947E-3</v>
      </c>
      <c r="G201">
        <f t="shared" si="3"/>
        <v>1.4536304384073188E-2</v>
      </c>
    </row>
    <row r="202" spans="1:7" x14ac:dyDescent="0.35">
      <c r="A202" s="2">
        <v>44959</v>
      </c>
      <c r="B202">
        <v>17610.400390999999</v>
      </c>
      <c r="C202">
        <v>4119.2099609999996</v>
      </c>
      <c r="F202">
        <f t="shared" si="3"/>
        <v>-3.3499532223429419E-4</v>
      </c>
      <c r="G202">
        <f t="shared" si="3"/>
        <v>1.0398056227734952E-2</v>
      </c>
    </row>
    <row r="203" spans="1:7" x14ac:dyDescent="0.35">
      <c r="A203" s="2">
        <v>44960</v>
      </c>
      <c r="B203">
        <v>17854.050781000002</v>
      </c>
      <c r="C203">
        <v>4179.7597660000001</v>
      </c>
      <c r="F203">
        <f t="shared" si="3"/>
        <v>1.3740758169937702E-2</v>
      </c>
      <c r="G203">
        <f t="shared" si="3"/>
        <v>1.4592384701399877E-2</v>
      </c>
    </row>
    <row r="204" spans="1:7" x14ac:dyDescent="0.35">
      <c r="A204" s="2">
        <v>44963</v>
      </c>
      <c r="B204">
        <v>17764.599609000001</v>
      </c>
      <c r="C204">
        <v>4136.4799800000001</v>
      </c>
      <c r="F204">
        <f t="shared" si="3"/>
        <v>-5.0227259637859014E-3</v>
      </c>
      <c r="G204">
        <f t="shared" si="3"/>
        <v>-1.0408592840324556E-2</v>
      </c>
    </row>
    <row r="205" spans="1:7" x14ac:dyDescent="0.35">
      <c r="A205" s="2">
        <v>44964</v>
      </c>
      <c r="B205">
        <v>17721.5</v>
      </c>
      <c r="C205">
        <v>4111.080078</v>
      </c>
      <c r="F205">
        <f t="shared" si="3"/>
        <v>-2.4290993187421647E-3</v>
      </c>
      <c r="G205">
        <f t="shared" si="3"/>
        <v>-6.1593931110240424E-3</v>
      </c>
    </row>
    <row r="206" spans="1:7" x14ac:dyDescent="0.35">
      <c r="A206" s="2">
        <v>44965</v>
      </c>
      <c r="B206">
        <v>17871.699218999998</v>
      </c>
      <c r="C206">
        <v>4164</v>
      </c>
      <c r="F206">
        <f t="shared" si="3"/>
        <v>8.4398207443785785E-3</v>
      </c>
      <c r="G206">
        <f t="shared" si="3"/>
        <v>1.2790364067802819E-2</v>
      </c>
    </row>
    <row r="207" spans="1:7" x14ac:dyDescent="0.35">
      <c r="A207" s="2">
        <v>44966</v>
      </c>
      <c r="B207">
        <v>17893.449218999998</v>
      </c>
      <c r="C207">
        <v>4117.8598629999997</v>
      </c>
      <c r="F207">
        <f t="shared" si="3"/>
        <v>1.2162679944667117E-3</v>
      </c>
      <c r="G207">
        <f t="shared" si="3"/>
        <v>-1.1142573080711473E-2</v>
      </c>
    </row>
    <row r="208" spans="1:7" x14ac:dyDescent="0.35">
      <c r="A208" s="2">
        <v>44967</v>
      </c>
      <c r="B208">
        <v>17856.5</v>
      </c>
      <c r="C208">
        <v>4081.5</v>
      </c>
      <c r="F208">
        <f t="shared" si="3"/>
        <v>-2.0670928470560455E-3</v>
      </c>
      <c r="G208">
        <f t="shared" si="3"/>
        <v>-8.8690097627373513E-3</v>
      </c>
    </row>
    <row r="209" spans="1:7" x14ac:dyDescent="0.35">
      <c r="A209" s="2">
        <v>44970</v>
      </c>
      <c r="B209">
        <v>17770.900390999999</v>
      </c>
      <c r="C209">
        <v>4090.459961</v>
      </c>
      <c r="F209">
        <f t="shared" si="3"/>
        <v>-4.8052775545427331E-3</v>
      </c>
      <c r="G209">
        <f t="shared" si="3"/>
        <v>2.1928557244964473E-3</v>
      </c>
    </row>
    <row r="210" spans="1:7" x14ac:dyDescent="0.35">
      <c r="A210" s="2">
        <v>44971</v>
      </c>
      <c r="B210">
        <v>17929.849609000001</v>
      </c>
      <c r="C210">
        <v>4137.2900390000004</v>
      </c>
      <c r="F210">
        <f t="shared" si="3"/>
        <v>8.9045898631464962E-3</v>
      </c>
      <c r="G210">
        <f t="shared" si="3"/>
        <v>1.1383569920769382E-2</v>
      </c>
    </row>
    <row r="211" spans="1:7" x14ac:dyDescent="0.35">
      <c r="A211" s="2">
        <v>44972</v>
      </c>
      <c r="B211">
        <v>18015.849609000001</v>
      </c>
      <c r="C211">
        <v>4136.1298829999996</v>
      </c>
      <c r="F211">
        <f t="shared" si="3"/>
        <v>4.7850043794271328E-3</v>
      </c>
      <c r="G211">
        <f t="shared" si="3"/>
        <v>-2.8045379505514694E-4</v>
      </c>
    </row>
    <row r="212" spans="1:7" x14ac:dyDescent="0.35">
      <c r="A212" s="2">
        <v>44973</v>
      </c>
      <c r="B212">
        <v>18035.849609000001</v>
      </c>
      <c r="C212">
        <v>4147.6000979999999</v>
      </c>
      <c r="F212">
        <f t="shared" si="3"/>
        <v>1.109517858272377E-3</v>
      </c>
      <c r="G212">
        <f t="shared" si="3"/>
        <v>2.7693375706237793E-3</v>
      </c>
    </row>
    <row r="213" spans="1:7" x14ac:dyDescent="0.35">
      <c r="A213" s="2">
        <v>44974</v>
      </c>
      <c r="B213">
        <v>17944.199218999998</v>
      </c>
      <c r="C213">
        <v>4090.4099120000001</v>
      </c>
      <c r="F213">
        <f t="shared" si="3"/>
        <v>-5.0945227264031952E-3</v>
      </c>
      <c r="G213">
        <f t="shared" si="3"/>
        <v>-1.3884689314500187E-2</v>
      </c>
    </row>
    <row r="214" spans="1:7" x14ac:dyDescent="0.35">
      <c r="A214" s="2">
        <v>44977</v>
      </c>
      <c r="B214">
        <v>17844.599609000001</v>
      </c>
      <c r="C214">
        <v>4079.0900879999999</v>
      </c>
      <c r="F214">
        <f t="shared" si="3"/>
        <v>-5.5659798817293627E-3</v>
      </c>
      <c r="G214">
        <f t="shared" si="3"/>
        <v>-2.7712421187298065E-3</v>
      </c>
    </row>
    <row r="215" spans="1:7" x14ac:dyDescent="0.35">
      <c r="A215" s="2">
        <v>44978</v>
      </c>
      <c r="B215">
        <v>17826.699218999998</v>
      </c>
      <c r="C215">
        <v>3997.3400879999999</v>
      </c>
      <c r="F215">
        <f t="shared" si="3"/>
        <v>-1.0036299260570026E-3</v>
      </c>
      <c r="G215">
        <f t="shared" si="3"/>
        <v>-2.0244783972923362E-2</v>
      </c>
    </row>
    <row r="216" spans="1:7" x14ac:dyDescent="0.35">
      <c r="A216" s="2">
        <v>44979</v>
      </c>
      <c r="B216">
        <v>17554.300781000002</v>
      </c>
      <c r="C216">
        <v>3991.0500489999999</v>
      </c>
      <c r="F216">
        <f t="shared" si="3"/>
        <v>-1.5398310974762111E-2</v>
      </c>
      <c r="G216">
        <f t="shared" si="3"/>
        <v>-1.5747954699402154E-3</v>
      </c>
    </row>
    <row r="217" spans="1:7" x14ac:dyDescent="0.35">
      <c r="A217" s="2">
        <v>44980</v>
      </c>
      <c r="B217">
        <v>17511.25</v>
      </c>
      <c r="C217">
        <v>4012.320068</v>
      </c>
      <c r="F217">
        <f t="shared" si="3"/>
        <v>-2.4554471081371073E-3</v>
      </c>
      <c r="G217">
        <f t="shared" si="3"/>
        <v>5.3152781306048027E-3</v>
      </c>
    </row>
    <row r="218" spans="1:7" x14ac:dyDescent="0.35">
      <c r="A218" s="2">
        <v>44981</v>
      </c>
      <c r="B218">
        <v>17465.800781000002</v>
      </c>
      <c r="C218">
        <v>3970.040039</v>
      </c>
      <c r="F218">
        <f t="shared" si="3"/>
        <v>-2.5988037049817754E-3</v>
      </c>
      <c r="G218">
        <f t="shared" si="3"/>
        <v>-1.0593464545949238E-2</v>
      </c>
    </row>
    <row r="219" spans="1:7" x14ac:dyDescent="0.35">
      <c r="A219" s="2">
        <v>44984</v>
      </c>
      <c r="B219">
        <v>17392.699218999998</v>
      </c>
      <c r="C219">
        <v>3982.23999</v>
      </c>
      <c r="F219">
        <f t="shared" si="3"/>
        <v>-4.1941947681290136E-3</v>
      </c>
      <c r="G219">
        <f t="shared" si="3"/>
        <v>3.068292496440242E-3</v>
      </c>
    </row>
    <row r="220" spans="1:7" x14ac:dyDescent="0.35">
      <c r="A220" s="2">
        <v>44985</v>
      </c>
      <c r="B220">
        <v>17303.949218999998</v>
      </c>
      <c r="C220">
        <v>3970.1499020000001</v>
      </c>
      <c r="F220">
        <f t="shared" si="3"/>
        <v>-5.1157790480139652E-3</v>
      </c>
      <c r="G220">
        <f t="shared" si="3"/>
        <v>-3.040619858676227E-3</v>
      </c>
    </row>
    <row r="221" spans="1:7" x14ac:dyDescent="0.35">
      <c r="A221" s="2">
        <v>44986</v>
      </c>
      <c r="B221">
        <v>17450.900390999999</v>
      </c>
      <c r="C221">
        <v>3951.389893</v>
      </c>
      <c r="F221">
        <f t="shared" si="3"/>
        <v>8.4564916483347019E-3</v>
      </c>
      <c r="G221">
        <f t="shared" si="3"/>
        <v>-4.7364640101430254E-3</v>
      </c>
    </row>
    <row r="222" spans="1:7" x14ac:dyDescent="0.35">
      <c r="A222" s="2">
        <v>44987</v>
      </c>
      <c r="B222">
        <v>17321.900390999999</v>
      </c>
      <c r="C222">
        <v>3981.3500979999999</v>
      </c>
      <c r="F222">
        <f t="shared" si="3"/>
        <v>-7.419626196052782E-3</v>
      </c>
      <c r="G222">
        <f t="shared" si="3"/>
        <v>7.5535937107697564E-3</v>
      </c>
    </row>
    <row r="223" spans="1:7" x14ac:dyDescent="0.35">
      <c r="A223" s="2">
        <v>44988</v>
      </c>
      <c r="B223">
        <v>17594.349609000001</v>
      </c>
      <c r="C223">
        <v>4045.639893</v>
      </c>
      <c r="F223">
        <f t="shared" si="3"/>
        <v>1.5606186095620072E-2</v>
      </c>
      <c r="G223">
        <f t="shared" si="3"/>
        <v>1.6018749194422137E-2</v>
      </c>
    </row>
    <row r="224" spans="1:7" x14ac:dyDescent="0.35">
      <c r="A224" s="2">
        <v>44991</v>
      </c>
      <c r="B224">
        <v>17711.449218999998</v>
      </c>
      <c r="C224">
        <v>4048.419922</v>
      </c>
      <c r="F224">
        <f t="shared" si="3"/>
        <v>6.6334734395546583E-3</v>
      </c>
      <c r="G224">
        <f t="shared" si="3"/>
        <v>6.8693070544571951E-4</v>
      </c>
    </row>
    <row r="225" spans="1:7" x14ac:dyDescent="0.35">
      <c r="A225" s="2">
        <v>44993</v>
      </c>
      <c r="B225">
        <v>17754.400390999999</v>
      </c>
      <c r="C225">
        <v>3986.3701169999999</v>
      </c>
      <c r="F225">
        <f t="shared" si="3"/>
        <v>2.4221155545733016E-3</v>
      </c>
      <c r="G225">
        <f t="shared" si="3"/>
        <v>-1.5445590557174101E-2</v>
      </c>
    </row>
    <row r="226" spans="1:7" x14ac:dyDescent="0.35">
      <c r="A226" s="2">
        <v>44994</v>
      </c>
      <c r="B226">
        <v>17589.599609000001</v>
      </c>
      <c r="C226">
        <v>3992.01001</v>
      </c>
      <c r="F226">
        <f t="shared" si="3"/>
        <v>-9.3255984805234258E-3</v>
      </c>
      <c r="G226">
        <f t="shared" si="3"/>
        <v>1.4137942413493998E-3</v>
      </c>
    </row>
    <row r="227" spans="1:7" x14ac:dyDescent="0.35">
      <c r="A227" s="2">
        <v>44995</v>
      </c>
      <c r="B227">
        <v>17412.900390999999</v>
      </c>
      <c r="C227">
        <v>3918.320068</v>
      </c>
      <c r="F227">
        <f t="shared" si="3"/>
        <v>-1.0096462769008498E-2</v>
      </c>
      <c r="G227">
        <f t="shared" si="3"/>
        <v>-1.8631858095910045E-2</v>
      </c>
    </row>
    <row r="228" spans="1:7" x14ac:dyDescent="0.35">
      <c r="A228" s="2">
        <v>44998</v>
      </c>
      <c r="B228">
        <v>17154.300781000002</v>
      </c>
      <c r="C228">
        <v>3861.5900879999999</v>
      </c>
      <c r="F228">
        <f t="shared" si="3"/>
        <v>-1.4962416723923002E-2</v>
      </c>
      <c r="G228">
        <f t="shared" si="3"/>
        <v>-1.4583969316026199E-2</v>
      </c>
    </row>
    <row r="229" spans="1:7" x14ac:dyDescent="0.35">
      <c r="A229" s="2">
        <v>44999</v>
      </c>
      <c r="B229">
        <v>17043.300781000002</v>
      </c>
      <c r="C229">
        <v>3855.76001</v>
      </c>
      <c r="F229">
        <f t="shared" si="3"/>
        <v>-6.49170612823713E-3</v>
      </c>
      <c r="G229">
        <f t="shared" si="3"/>
        <v>-1.5109018082769081E-3</v>
      </c>
    </row>
    <row r="230" spans="1:7" x14ac:dyDescent="0.35">
      <c r="A230" s="2">
        <v>45000</v>
      </c>
      <c r="B230">
        <v>16972.150390999999</v>
      </c>
      <c r="C230">
        <v>3919.290039</v>
      </c>
      <c r="F230">
        <f t="shared" si="3"/>
        <v>-4.1834220223762311E-3</v>
      </c>
      <c r="G230">
        <f t="shared" si="3"/>
        <v>1.6342388158631021E-2</v>
      </c>
    </row>
    <row r="231" spans="1:7" x14ac:dyDescent="0.35">
      <c r="A231" s="2">
        <v>45001</v>
      </c>
      <c r="B231">
        <v>16985.599609000001</v>
      </c>
      <c r="C231">
        <v>3891.929932</v>
      </c>
      <c r="F231">
        <f t="shared" si="3"/>
        <v>7.9211483111952261E-4</v>
      </c>
      <c r="G231">
        <f t="shared" si="3"/>
        <v>-7.0053638210683519E-3</v>
      </c>
    </row>
    <row r="232" spans="1:7" x14ac:dyDescent="0.35">
      <c r="A232" s="2">
        <v>45002</v>
      </c>
      <c r="B232">
        <v>17100.050781000002</v>
      </c>
      <c r="C232">
        <v>3960.280029</v>
      </c>
      <c r="F232">
        <f t="shared" si="3"/>
        <v>6.7155298971847089E-3</v>
      </c>
      <c r="G232">
        <f t="shared" si="3"/>
        <v>1.7409576081730271E-2</v>
      </c>
    </row>
    <row r="233" spans="1:7" x14ac:dyDescent="0.35">
      <c r="A233" s="2">
        <v>45005</v>
      </c>
      <c r="B233">
        <v>16988.400390999999</v>
      </c>
      <c r="C233">
        <v>3916.639893</v>
      </c>
      <c r="F233">
        <f t="shared" si="3"/>
        <v>-6.5506519313084082E-3</v>
      </c>
      <c r="G233">
        <f t="shared" si="3"/>
        <v>-1.1080621091276999E-2</v>
      </c>
    </row>
    <row r="234" spans="1:7" x14ac:dyDescent="0.35">
      <c r="A234" s="2">
        <v>45006</v>
      </c>
      <c r="B234">
        <v>17107.5</v>
      </c>
      <c r="C234">
        <v>3951.570068</v>
      </c>
      <c r="F234">
        <f t="shared" si="3"/>
        <v>6.9861826224965002E-3</v>
      </c>
      <c r="G234">
        <f t="shared" si="3"/>
        <v>8.8788694372824526E-3</v>
      </c>
    </row>
    <row r="235" spans="1:7" x14ac:dyDescent="0.35">
      <c r="A235" s="2">
        <v>45007</v>
      </c>
      <c r="B235">
        <v>17151.900390999999</v>
      </c>
      <c r="C235">
        <v>4002.8701169999999</v>
      </c>
      <c r="F235">
        <f t="shared" si="3"/>
        <v>2.5920135993073913E-3</v>
      </c>
      <c r="G235">
        <f t="shared" si="3"/>
        <v>1.2898647562662584E-2</v>
      </c>
    </row>
    <row r="236" spans="1:7" x14ac:dyDescent="0.35">
      <c r="A236" s="2">
        <v>45008</v>
      </c>
      <c r="B236">
        <v>17076.900390999999</v>
      </c>
      <c r="C236">
        <v>3936.969971</v>
      </c>
      <c r="F236">
        <f t="shared" si="3"/>
        <v>-4.3822814889177605E-3</v>
      </c>
      <c r="G236">
        <f t="shared" si="3"/>
        <v>-1.6600248517594576E-2</v>
      </c>
    </row>
    <row r="237" spans="1:7" x14ac:dyDescent="0.35">
      <c r="A237" s="2">
        <v>45009</v>
      </c>
      <c r="B237">
        <v>16945.050781000002</v>
      </c>
      <c r="C237">
        <v>3948.719971</v>
      </c>
      <c r="F237">
        <f t="shared" si="3"/>
        <v>-7.7508940871617105E-3</v>
      </c>
      <c r="G237">
        <f t="shared" si="3"/>
        <v>2.9800838689581612E-3</v>
      </c>
    </row>
    <row r="238" spans="1:7" x14ac:dyDescent="0.35">
      <c r="A238" s="2">
        <v>45012</v>
      </c>
      <c r="B238">
        <v>16985.699218999998</v>
      </c>
      <c r="C238">
        <v>3970.98999</v>
      </c>
      <c r="F238">
        <f t="shared" si="3"/>
        <v>2.3959657505776737E-3</v>
      </c>
      <c r="G238">
        <f t="shared" si="3"/>
        <v>5.623962950098719E-3</v>
      </c>
    </row>
    <row r="239" spans="1:7" x14ac:dyDescent="0.35">
      <c r="A239" s="2">
        <v>45013</v>
      </c>
      <c r="B239">
        <v>16951.699218999998</v>
      </c>
      <c r="C239">
        <v>3977.530029</v>
      </c>
      <c r="F239">
        <f t="shared" si="3"/>
        <v>-2.0036899078934313E-3</v>
      </c>
      <c r="G239">
        <f t="shared" si="3"/>
        <v>1.6455995481508702E-3</v>
      </c>
    </row>
    <row r="240" spans="1:7" x14ac:dyDescent="0.35">
      <c r="A240" s="2">
        <v>45014</v>
      </c>
      <c r="B240">
        <v>17080.699218999998</v>
      </c>
      <c r="C240">
        <v>3971.2700199999999</v>
      </c>
      <c r="F240">
        <f t="shared" si="3"/>
        <v>7.5810476926259866E-3</v>
      </c>
      <c r="G240">
        <f t="shared" si="3"/>
        <v>-1.5750830957146403E-3</v>
      </c>
    </row>
    <row r="241" spans="1:7" x14ac:dyDescent="0.35">
      <c r="A241" s="2">
        <v>45016</v>
      </c>
      <c r="B241">
        <v>17359.75</v>
      </c>
      <c r="C241">
        <v>4027.8100589999999</v>
      </c>
      <c r="F241">
        <f t="shared" si="3"/>
        <v>1.6205182803797315E-2</v>
      </c>
      <c r="G241">
        <f t="shared" si="3"/>
        <v>1.4136870757872802E-2</v>
      </c>
    </row>
    <row r="242" spans="1:7" x14ac:dyDescent="0.35">
      <c r="A242" s="2">
        <v>45019</v>
      </c>
      <c r="B242">
        <v>17398.050781000002</v>
      </c>
      <c r="C242">
        <v>4050.830078</v>
      </c>
      <c r="F242">
        <f t="shared" si="3"/>
        <v>2.2038676580067545E-3</v>
      </c>
      <c r="G242">
        <f t="shared" si="3"/>
        <v>5.6989990677636503E-3</v>
      </c>
    </row>
    <row r="243" spans="1:7" x14ac:dyDescent="0.35">
      <c r="A243" s="2">
        <v>45021</v>
      </c>
      <c r="B243">
        <v>17557.050781000002</v>
      </c>
      <c r="C243">
        <v>4109.3100590000004</v>
      </c>
      <c r="F243">
        <f t="shared" si="3"/>
        <v>9.0974472686603802E-3</v>
      </c>
      <c r="G243">
        <f t="shared" si="3"/>
        <v>1.4333327911755489E-2</v>
      </c>
    </row>
    <row r="244" spans="1:7" x14ac:dyDescent="0.35">
      <c r="A244" s="2">
        <v>45022</v>
      </c>
      <c r="B244">
        <v>17599.150390999999</v>
      </c>
      <c r="C244">
        <v>4124.5097660000001</v>
      </c>
      <c r="F244">
        <f t="shared" si="3"/>
        <v>2.3950045067611548E-3</v>
      </c>
      <c r="G244">
        <f t="shared" si="3"/>
        <v>3.6920225578619039E-3</v>
      </c>
    </row>
    <row r="245" spans="1:7" x14ac:dyDescent="0.35">
      <c r="A245" s="2">
        <v>45026</v>
      </c>
      <c r="B245">
        <v>17624.050781000002</v>
      </c>
      <c r="C245">
        <v>4100.6000979999999</v>
      </c>
      <c r="F245">
        <f t="shared" si="3"/>
        <v>1.4138632105820228E-3</v>
      </c>
      <c r="G245">
        <f t="shared" si="3"/>
        <v>-5.8138397522533285E-3</v>
      </c>
    </row>
    <row r="246" spans="1:7" x14ac:dyDescent="0.35">
      <c r="A246" s="2">
        <v>45027</v>
      </c>
      <c r="B246">
        <v>17722.300781000002</v>
      </c>
      <c r="C246">
        <v>4090.3798830000001</v>
      </c>
      <c r="F246">
        <f t="shared" si="3"/>
        <v>5.5592868116928441E-3</v>
      </c>
      <c r="G246">
        <f t="shared" si="3"/>
        <v>-2.4954816951113508E-3</v>
      </c>
    </row>
    <row r="247" spans="1:7" x14ac:dyDescent="0.35">
      <c r="A247" s="2">
        <v>45028</v>
      </c>
      <c r="B247">
        <v>17812.400390999999</v>
      </c>
      <c r="C247">
        <v>4105.0200199999999</v>
      </c>
      <c r="F247">
        <f t="shared" si="3"/>
        <v>5.0710882664685994E-3</v>
      </c>
      <c r="G247">
        <f t="shared" si="3"/>
        <v>3.5727732011532963E-3</v>
      </c>
    </row>
    <row r="248" spans="1:7" x14ac:dyDescent="0.35">
      <c r="A248" s="2">
        <v>45029</v>
      </c>
      <c r="B248">
        <v>17828</v>
      </c>
      <c r="C248">
        <v>4109.1098629999997</v>
      </c>
      <c r="F248">
        <f t="shared" si="3"/>
        <v>8.7538915528645065E-4</v>
      </c>
      <c r="G248">
        <f t="shared" si="3"/>
        <v>9.9580683437494946E-4</v>
      </c>
    </row>
    <row r="251" spans="1:7" x14ac:dyDescent="0.35">
      <c r="E251" t="s">
        <v>3</v>
      </c>
      <c r="F251">
        <f>AVERAGE(F3:F248)</f>
        <v>1.520081297475436E-4</v>
      </c>
      <c r="G251">
        <f>AVERAGE(G3:G248)</f>
        <v>-2.7118930129826896E-4</v>
      </c>
    </row>
    <row r="254" spans="1:7" x14ac:dyDescent="0.35">
      <c r="E254" t="s">
        <v>4</v>
      </c>
      <c r="F254">
        <f>(1+F251)^252-1</f>
        <v>3.9046159077065434E-2</v>
      </c>
      <c r="G254">
        <f>(1+G251)^252-1</f>
        <v>-6.6065500381990994E-2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891A5-F8F8-4E54-8A18-BDBCA9295A6B}">
  <dimension ref="A1:N252"/>
  <sheetViews>
    <sheetView workbookViewId="0">
      <selection activeCell="I7" sqref="I7"/>
    </sheetView>
  </sheetViews>
  <sheetFormatPr defaultRowHeight="14.5" x14ac:dyDescent="0.35"/>
  <cols>
    <col min="1" max="1" width="11.26953125" customWidth="1"/>
    <col min="9" max="9" width="17.08984375" bestFit="1" customWidth="1"/>
    <col min="11" max="11" width="10" bestFit="1" customWidth="1"/>
  </cols>
  <sheetData>
    <row r="1" spans="1:14" x14ac:dyDescent="0.35">
      <c r="A1" t="s">
        <v>0</v>
      </c>
      <c r="B1" t="s">
        <v>18</v>
      </c>
      <c r="C1" t="s">
        <v>19</v>
      </c>
      <c r="E1" t="s">
        <v>20</v>
      </c>
      <c r="F1" t="s">
        <v>21</v>
      </c>
    </row>
    <row r="2" spans="1:14" x14ac:dyDescent="0.35">
      <c r="A2" s="2">
        <v>45033</v>
      </c>
      <c r="B2">
        <v>17706.849610000001</v>
      </c>
      <c r="C2">
        <v>4137.6401370000003</v>
      </c>
      <c r="E2" t="s">
        <v>7</v>
      </c>
      <c r="F2" t="s">
        <v>7</v>
      </c>
    </row>
    <row r="3" spans="1:14" x14ac:dyDescent="0.35">
      <c r="A3" s="2">
        <v>45034</v>
      </c>
      <c r="B3">
        <v>17660.150389999999</v>
      </c>
      <c r="C3">
        <v>4151.3198240000002</v>
      </c>
      <c r="E3">
        <v>-2.640837E-3</v>
      </c>
      <c r="F3">
        <v>3.3007029999999999E-3</v>
      </c>
    </row>
    <row r="4" spans="1:14" x14ac:dyDescent="0.35">
      <c r="A4" s="2">
        <v>45035</v>
      </c>
      <c r="B4">
        <v>17618.75</v>
      </c>
      <c r="C4">
        <v>4154.8701170000004</v>
      </c>
      <c r="E4">
        <v>-2.3470349999999999E-3</v>
      </c>
      <c r="F4">
        <v>8.5485499999999996E-4</v>
      </c>
    </row>
    <row r="5" spans="1:14" x14ac:dyDescent="0.35">
      <c r="A5" s="2">
        <v>45036</v>
      </c>
      <c r="B5">
        <v>17624.449219999999</v>
      </c>
      <c r="C5">
        <v>4154.5200199999999</v>
      </c>
      <c r="E5">
        <v>3.2342200000000002E-4</v>
      </c>
      <c r="F5" s="5">
        <v>-8.4300000000000003E-5</v>
      </c>
      <c r="J5" t="s">
        <v>8</v>
      </c>
      <c r="K5" t="s">
        <v>9</v>
      </c>
      <c r="L5" t="s">
        <v>10</v>
      </c>
    </row>
    <row r="6" spans="1:14" x14ac:dyDescent="0.35">
      <c r="A6" s="2">
        <v>45037</v>
      </c>
      <c r="B6">
        <v>17624.050780000001</v>
      </c>
      <c r="C6">
        <v>4129.7900390000004</v>
      </c>
      <c r="E6" s="5">
        <v>-2.26E-5</v>
      </c>
      <c r="F6">
        <v>-5.9703350000000002E-3</v>
      </c>
      <c r="I6" t="s">
        <v>20</v>
      </c>
      <c r="J6">
        <v>0.281698538</v>
      </c>
      <c r="K6">
        <v>1</v>
      </c>
      <c r="L6">
        <f>K6*J6</f>
        <v>0.281698538</v>
      </c>
    </row>
    <row r="7" spans="1:14" x14ac:dyDescent="0.35">
      <c r="A7" s="2">
        <v>45040</v>
      </c>
      <c r="B7">
        <v>17743.400389999999</v>
      </c>
      <c r="C7">
        <v>4133.5200199999999</v>
      </c>
      <c r="E7">
        <v>6.7491469999999996E-3</v>
      </c>
      <c r="F7">
        <v>9.0278099999999996E-4</v>
      </c>
      <c r="I7" t="s">
        <v>21</v>
      </c>
      <c r="J7">
        <v>0.25280710200000001</v>
      </c>
      <c r="K7">
        <v>0</v>
      </c>
      <c r="L7">
        <f>K7*J7</f>
        <v>0</v>
      </c>
    </row>
    <row r="8" spans="1:14" x14ac:dyDescent="0.35">
      <c r="A8" s="2">
        <v>45041</v>
      </c>
      <c r="B8">
        <v>17769.25</v>
      </c>
      <c r="C8">
        <v>4137.0400390000004</v>
      </c>
      <c r="E8">
        <v>1.455797E-3</v>
      </c>
      <c r="F8">
        <v>8.5121700000000003E-4</v>
      </c>
    </row>
    <row r="9" spans="1:14" x14ac:dyDescent="0.35">
      <c r="A9" s="2">
        <v>45042</v>
      </c>
      <c r="B9">
        <v>17813.599610000001</v>
      </c>
      <c r="C9">
        <v>4071.6298830000001</v>
      </c>
      <c r="E9">
        <v>2.4927529999999999E-3</v>
      </c>
      <c r="F9">
        <v>-1.5937184E-2</v>
      </c>
    </row>
    <row r="10" spans="1:14" x14ac:dyDescent="0.35">
      <c r="A10" s="2">
        <v>45043</v>
      </c>
      <c r="B10">
        <v>17915.050780000001</v>
      </c>
      <c r="C10">
        <v>4055.98999</v>
      </c>
      <c r="E10">
        <v>5.6789969999999999E-3</v>
      </c>
      <c r="F10">
        <v>-3.8485839999999999E-3</v>
      </c>
      <c r="J10" t="s">
        <v>11</v>
      </c>
      <c r="K10">
        <f>SUM(L6+L7)</f>
        <v>0.281698538</v>
      </c>
      <c r="M10" t="s">
        <v>12</v>
      </c>
      <c r="N10">
        <v>7.0000000000000007E-2</v>
      </c>
    </row>
    <row r="11" spans="1:14" x14ac:dyDescent="0.35">
      <c r="A11" s="2">
        <v>45044</v>
      </c>
      <c r="B11">
        <v>18065</v>
      </c>
      <c r="C11">
        <v>4135.3500979999999</v>
      </c>
      <c r="E11">
        <v>8.3351789999999999E-3</v>
      </c>
      <c r="F11">
        <v>1.9377194E-2</v>
      </c>
    </row>
    <row r="12" spans="1:14" x14ac:dyDescent="0.35">
      <c r="A12" s="2">
        <v>45048</v>
      </c>
      <c r="B12">
        <v>18147.650389999999</v>
      </c>
      <c r="C12">
        <v>4169.4799800000001</v>
      </c>
      <c r="E12">
        <v>4.5647329999999996E-3</v>
      </c>
      <c r="F12">
        <v>8.2193309999999999E-3</v>
      </c>
      <c r="J12" t="s">
        <v>13</v>
      </c>
      <c r="K12">
        <f t="array" ref="K12">SQRT(MMULT(TRANSPOSE(K6:K7),MMULT(K16:L17,K6:K7)))</f>
        <v>6.2209324059983159E-3</v>
      </c>
    </row>
    <row r="13" spans="1:14" x14ac:dyDescent="0.35">
      <c r="A13" s="2">
        <v>45049</v>
      </c>
      <c r="B13">
        <v>18089.849610000001</v>
      </c>
      <c r="C13">
        <v>4167.8701170000004</v>
      </c>
      <c r="E13">
        <v>-3.1901109999999998E-3</v>
      </c>
      <c r="F13">
        <v>-3.8618099999999998E-4</v>
      </c>
      <c r="J13" t="s">
        <v>14</v>
      </c>
      <c r="K13">
        <f>SQRT(252)*K12</f>
        <v>9.8754240415285452E-2</v>
      </c>
    </row>
    <row r="14" spans="1:14" x14ac:dyDescent="0.35">
      <c r="A14" s="2">
        <v>45050</v>
      </c>
      <c r="B14">
        <v>18255.800780000001</v>
      </c>
      <c r="C14">
        <v>4119.580078</v>
      </c>
      <c r="E14">
        <v>9.1318949999999992E-3</v>
      </c>
      <c r="F14">
        <v>-1.1653907E-2</v>
      </c>
    </row>
    <row r="15" spans="1:14" x14ac:dyDescent="0.35">
      <c r="A15" s="2">
        <v>45051</v>
      </c>
      <c r="B15">
        <v>18069</v>
      </c>
      <c r="C15">
        <v>4090.75</v>
      </c>
      <c r="E15">
        <v>-1.0285117999999999E-2</v>
      </c>
      <c r="F15">
        <v>-7.0229079999999996E-3</v>
      </c>
      <c r="K15" t="s">
        <v>15</v>
      </c>
      <c r="L15" t="s">
        <v>16</v>
      </c>
    </row>
    <row r="16" spans="1:14" x14ac:dyDescent="0.35">
      <c r="A16" s="2">
        <v>45054</v>
      </c>
      <c r="B16">
        <v>18264.400389999999</v>
      </c>
      <c r="C16">
        <v>4061.219971</v>
      </c>
      <c r="E16">
        <v>1.0756069E-2</v>
      </c>
      <c r="F16">
        <v>-7.2449130000000004E-3</v>
      </c>
      <c r="J16" t="s">
        <v>15</v>
      </c>
      <c r="K16" s="5">
        <v>3.8699999999999999E-5</v>
      </c>
      <c r="L16" s="5">
        <v>6.28E-6</v>
      </c>
    </row>
    <row r="17" spans="1:12" x14ac:dyDescent="0.35">
      <c r="A17" s="2">
        <v>45055</v>
      </c>
      <c r="B17">
        <v>18265.949219999999</v>
      </c>
      <c r="C17">
        <v>4136.25</v>
      </c>
      <c r="E17" s="5">
        <v>8.4800000000000001E-5</v>
      </c>
      <c r="F17">
        <v>1.8306165999999999E-2</v>
      </c>
      <c r="J17" t="s">
        <v>16</v>
      </c>
      <c r="K17" s="5">
        <v>6.28E-6</v>
      </c>
      <c r="L17" s="5">
        <v>5.3100000000000003E-5</v>
      </c>
    </row>
    <row r="18" spans="1:12" x14ac:dyDescent="0.35">
      <c r="A18" s="2">
        <v>45056</v>
      </c>
      <c r="B18">
        <v>18315.099610000001</v>
      </c>
      <c r="C18">
        <v>4138.1201170000004</v>
      </c>
      <c r="E18">
        <v>2.6872070000000001E-3</v>
      </c>
      <c r="F18">
        <v>4.5202600000000001E-4</v>
      </c>
    </row>
    <row r="19" spans="1:12" x14ac:dyDescent="0.35">
      <c r="A19" s="2">
        <v>45057</v>
      </c>
      <c r="B19">
        <v>18297</v>
      </c>
      <c r="C19">
        <v>4119.169922</v>
      </c>
      <c r="E19">
        <v>-9.8872299999999995E-4</v>
      </c>
      <c r="F19">
        <v>-4.5899390000000003E-3</v>
      </c>
    </row>
    <row r="20" spans="1:12" x14ac:dyDescent="0.35">
      <c r="A20" s="2">
        <v>45058</v>
      </c>
      <c r="B20">
        <v>18314.800780000001</v>
      </c>
      <c r="C20">
        <v>4137.6401370000003</v>
      </c>
      <c r="E20">
        <v>9.72407E-4</v>
      </c>
      <c r="F20">
        <v>4.4739419999999998E-3</v>
      </c>
      <c r="J20" t="s">
        <v>17</v>
      </c>
      <c r="K20">
        <f>(K10-N10)/K13</f>
        <v>2.1436906112563516</v>
      </c>
    </row>
    <row r="21" spans="1:12" x14ac:dyDescent="0.35">
      <c r="A21" s="2">
        <v>45061</v>
      </c>
      <c r="B21">
        <v>18398.849610000001</v>
      </c>
      <c r="C21">
        <v>4130.6201170000004</v>
      </c>
      <c r="E21">
        <v>4.5786230000000004E-3</v>
      </c>
      <c r="F21">
        <v>-1.6980649999999999E-3</v>
      </c>
    </row>
    <row r="22" spans="1:12" x14ac:dyDescent="0.35">
      <c r="A22" s="2">
        <v>45062</v>
      </c>
      <c r="B22">
        <v>18286.5</v>
      </c>
      <c r="C22">
        <v>4124.080078</v>
      </c>
      <c r="E22">
        <v>-6.1250590000000004E-3</v>
      </c>
      <c r="F22">
        <v>-1.5845620000000001E-3</v>
      </c>
    </row>
    <row r="23" spans="1:12" x14ac:dyDescent="0.35">
      <c r="A23" s="2">
        <v>45063</v>
      </c>
      <c r="B23">
        <v>18181.75</v>
      </c>
      <c r="C23">
        <v>4136.2797849999997</v>
      </c>
      <c r="E23">
        <v>-5.7447389999999996E-3</v>
      </c>
      <c r="F23">
        <v>2.9537980000000001E-3</v>
      </c>
    </row>
    <row r="24" spans="1:12" x14ac:dyDescent="0.35">
      <c r="A24" s="2">
        <v>45064</v>
      </c>
      <c r="B24">
        <v>18129.949219999999</v>
      </c>
      <c r="C24">
        <v>4109.8999020000001</v>
      </c>
      <c r="E24">
        <v>-2.8531199999999998E-3</v>
      </c>
      <c r="F24">
        <v>-6.3981079999999996E-3</v>
      </c>
    </row>
    <row r="25" spans="1:12" x14ac:dyDescent="0.35">
      <c r="A25" s="2">
        <v>45065</v>
      </c>
      <c r="B25">
        <v>18203.400389999999</v>
      </c>
      <c r="C25">
        <v>4158.7700199999999</v>
      </c>
      <c r="E25">
        <v>4.0431870000000002E-3</v>
      </c>
      <c r="F25">
        <v>1.1820689000000001E-2</v>
      </c>
    </row>
    <row r="26" spans="1:12" x14ac:dyDescent="0.35">
      <c r="A26" s="2">
        <v>45068</v>
      </c>
      <c r="B26">
        <v>18314.400389999999</v>
      </c>
      <c r="C26">
        <v>4198.0498049999997</v>
      </c>
      <c r="E26">
        <v>6.079246E-3</v>
      </c>
      <c r="F26">
        <v>9.4007229999999997E-3</v>
      </c>
    </row>
    <row r="27" spans="1:12" x14ac:dyDescent="0.35">
      <c r="A27" s="2">
        <v>45069</v>
      </c>
      <c r="B27">
        <v>18348</v>
      </c>
      <c r="C27">
        <v>4191.9799800000001</v>
      </c>
      <c r="E27">
        <v>1.83292E-3</v>
      </c>
      <c r="F27">
        <v>-1.4469140000000001E-3</v>
      </c>
    </row>
    <row r="28" spans="1:12" x14ac:dyDescent="0.35">
      <c r="A28" s="2">
        <v>45070</v>
      </c>
      <c r="B28">
        <v>18285.400389999999</v>
      </c>
      <c r="C28">
        <v>4192.6298829999996</v>
      </c>
      <c r="E28">
        <v>-3.4176279999999998E-3</v>
      </c>
      <c r="F28">
        <v>1.5502300000000001E-4</v>
      </c>
    </row>
    <row r="29" spans="1:12" x14ac:dyDescent="0.35">
      <c r="A29" s="2">
        <v>45071</v>
      </c>
      <c r="B29">
        <v>18321.150389999999</v>
      </c>
      <c r="C29">
        <v>4145.580078</v>
      </c>
      <c r="E29">
        <v>1.9532030000000001E-3</v>
      </c>
      <c r="F29">
        <v>-1.1285468999999999E-2</v>
      </c>
    </row>
    <row r="30" spans="1:12" x14ac:dyDescent="0.35">
      <c r="A30" s="2">
        <v>45072</v>
      </c>
      <c r="B30">
        <v>18499.349610000001</v>
      </c>
      <c r="C30">
        <v>4115.2402339999999</v>
      </c>
      <c r="E30">
        <v>9.6794240000000007E-3</v>
      </c>
      <c r="F30">
        <v>-7.3455129999999997E-3</v>
      </c>
    </row>
    <row r="31" spans="1:12" x14ac:dyDescent="0.35">
      <c r="A31" s="2">
        <v>45075</v>
      </c>
      <c r="B31">
        <v>18598.650389999999</v>
      </c>
      <c r="C31">
        <v>4151.2797849999997</v>
      </c>
      <c r="E31">
        <v>5.3534430000000003E-3</v>
      </c>
      <c r="F31">
        <v>8.7194560000000004E-3</v>
      </c>
    </row>
    <row r="32" spans="1:12" x14ac:dyDescent="0.35">
      <c r="A32" s="2">
        <v>45076</v>
      </c>
      <c r="B32">
        <v>18633.849610000001</v>
      </c>
      <c r="C32">
        <v>4205.4501950000003</v>
      </c>
      <c r="E32">
        <v>1.8907800000000001E-3</v>
      </c>
      <c r="F32">
        <v>1.2964681E-2</v>
      </c>
    </row>
    <row r="33" spans="1:6" x14ac:dyDescent="0.35">
      <c r="A33" s="2">
        <v>45077</v>
      </c>
      <c r="B33">
        <v>18534.400389999999</v>
      </c>
      <c r="C33">
        <v>4205.5200199999999</v>
      </c>
      <c r="E33">
        <v>-5.3513120000000004E-3</v>
      </c>
      <c r="F33" s="5">
        <v>1.66E-5</v>
      </c>
    </row>
    <row r="34" spans="1:6" x14ac:dyDescent="0.35">
      <c r="A34" s="2">
        <v>45078</v>
      </c>
      <c r="B34">
        <v>18487.75</v>
      </c>
      <c r="C34">
        <v>4179.830078</v>
      </c>
      <c r="E34">
        <v>-2.5201350000000002E-3</v>
      </c>
      <c r="F34">
        <v>-6.1273580000000003E-3</v>
      </c>
    </row>
    <row r="35" spans="1:6" x14ac:dyDescent="0.35">
      <c r="A35" s="2">
        <v>45079</v>
      </c>
      <c r="B35">
        <v>18534.099610000001</v>
      </c>
      <c r="C35">
        <v>4221.0200199999999</v>
      </c>
      <c r="E35">
        <v>2.5039070000000001E-3</v>
      </c>
      <c r="F35">
        <v>9.8062150000000001E-3</v>
      </c>
    </row>
    <row r="36" spans="1:6" x14ac:dyDescent="0.35">
      <c r="A36" s="2">
        <v>45082</v>
      </c>
      <c r="B36">
        <v>18593.849610000001</v>
      </c>
      <c r="C36">
        <v>4282.3701170000004</v>
      </c>
      <c r="E36">
        <v>3.2186020000000001E-3</v>
      </c>
      <c r="F36">
        <v>1.4429812E-2</v>
      </c>
    </row>
    <row r="37" spans="1:6" x14ac:dyDescent="0.35">
      <c r="A37" s="2">
        <v>45083</v>
      </c>
      <c r="B37">
        <v>18599</v>
      </c>
      <c r="C37">
        <v>4273.7900390000004</v>
      </c>
      <c r="E37">
        <v>2.7695600000000002E-4</v>
      </c>
      <c r="F37">
        <v>-2.0055910000000001E-3</v>
      </c>
    </row>
    <row r="38" spans="1:6" x14ac:dyDescent="0.35">
      <c r="A38" s="2">
        <v>45084</v>
      </c>
      <c r="B38">
        <v>18726.400389999999</v>
      </c>
      <c r="C38">
        <v>4283.8500979999999</v>
      </c>
      <c r="E38">
        <v>6.8264980000000003E-3</v>
      </c>
      <c r="F38">
        <v>2.3511299999999999E-3</v>
      </c>
    </row>
    <row r="39" spans="1:6" x14ac:dyDescent="0.35">
      <c r="A39" s="2">
        <v>45085</v>
      </c>
      <c r="B39">
        <v>18634.550780000001</v>
      </c>
      <c r="C39">
        <v>4267.5200199999999</v>
      </c>
      <c r="E39">
        <v>-4.916887E-3</v>
      </c>
      <c r="F39">
        <v>-3.819294E-3</v>
      </c>
    </row>
    <row r="40" spans="1:6" x14ac:dyDescent="0.35">
      <c r="A40" s="2">
        <v>45086</v>
      </c>
      <c r="B40">
        <v>18563.400389999999</v>
      </c>
      <c r="C40">
        <v>4293.9301759999998</v>
      </c>
      <c r="E40">
        <v>-3.8255049999999999E-3</v>
      </c>
      <c r="F40">
        <v>6.1695719999999999E-3</v>
      </c>
    </row>
    <row r="41" spans="1:6" x14ac:dyDescent="0.35">
      <c r="A41" s="2">
        <v>45089</v>
      </c>
      <c r="B41">
        <v>18601.5</v>
      </c>
      <c r="C41">
        <v>4298.8598629999997</v>
      </c>
      <c r="E41">
        <v>2.050301E-3</v>
      </c>
      <c r="F41">
        <v>1.1474009999999999E-3</v>
      </c>
    </row>
    <row r="42" spans="1:6" x14ac:dyDescent="0.35">
      <c r="A42" s="2">
        <v>45090</v>
      </c>
      <c r="B42">
        <v>18716.150389999999</v>
      </c>
      <c r="C42">
        <v>4338.9301759999998</v>
      </c>
      <c r="E42">
        <v>6.1445859999999996E-3</v>
      </c>
      <c r="F42">
        <v>9.2779750000000008E-3</v>
      </c>
    </row>
    <row r="43" spans="1:6" x14ac:dyDescent="0.35">
      <c r="A43" s="2">
        <v>45091</v>
      </c>
      <c r="B43">
        <v>18755.900389999999</v>
      </c>
      <c r="C43">
        <v>4369.0097660000001</v>
      </c>
      <c r="E43">
        <v>2.1215819999999999E-3</v>
      </c>
      <c r="F43">
        <v>6.9085709999999996E-3</v>
      </c>
    </row>
    <row r="44" spans="1:6" x14ac:dyDescent="0.35">
      <c r="A44" s="2">
        <v>45092</v>
      </c>
      <c r="B44">
        <v>18688.099610000001</v>
      </c>
      <c r="C44">
        <v>4372.5898440000001</v>
      </c>
      <c r="E44">
        <v>-3.6214540000000001E-3</v>
      </c>
      <c r="F44">
        <v>8.1908999999999997E-4</v>
      </c>
    </row>
    <row r="45" spans="1:6" x14ac:dyDescent="0.35">
      <c r="A45" s="2">
        <v>45093</v>
      </c>
      <c r="B45">
        <v>18826</v>
      </c>
      <c r="C45">
        <v>4425.8398440000001</v>
      </c>
      <c r="E45">
        <v>7.3519559999999998E-3</v>
      </c>
      <c r="F45">
        <v>1.210458E-2</v>
      </c>
    </row>
    <row r="46" spans="1:6" x14ac:dyDescent="0.35">
      <c r="A46" s="2">
        <v>45096</v>
      </c>
      <c r="B46">
        <v>18755.449219999999</v>
      </c>
      <c r="C46">
        <v>4409.5898440000001</v>
      </c>
      <c r="E46">
        <v>-3.7545579999999999E-3</v>
      </c>
      <c r="F46">
        <v>-3.6783760000000001E-3</v>
      </c>
    </row>
    <row r="47" spans="1:6" x14ac:dyDescent="0.35">
      <c r="A47" s="2">
        <v>45097</v>
      </c>
      <c r="B47">
        <v>18816.699219999999</v>
      </c>
      <c r="C47">
        <v>4388.7099609999996</v>
      </c>
      <c r="E47">
        <v>3.2603969999999999E-3</v>
      </c>
      <c r="F47">
        <v>-4.7463540000000004E-3</v>
      </c>
    </row>
    <row r="48" spans="1:6" x14ac:dyDescent="0.35">
      <c r="A48" s="2">
        <v>45098</v>
      </c>
      <c r="B48">
        <v>18856.849610000001</v>
      </c>
      <c r="C48">
        <v>4365.6899409999996</v>
      </c>
      <c r="E48">
        <v>2.1314900000000002E-3</v>
      </c>
      <c r="F48">
        <v>-5.2590859999999996E-3</v>
      </c>
    </row>
    <row r="49" spans="1:6" x14ac:dyDescent="0.35">
      <c r="A49" s="2">
        <v>45099</v>
      </c>
      <c r="B49">
        <v>18771.25</v>
      </c>
      <c r="C49">
        <v>4381.8901370000003</v>
      </c>
      <c r="E49">
        <v>-4.549778E-3</v>
      </c>
      <c r="F49">
        <v>3.7039310000000002E-3</v>
      </c>
    </row>
    <row r="50" spans="1:6" x14ac:dyDescent="0.35">
      <c r="A50" s="2">
        <v>45100</v>
      </c>
      <c r="B50">
        <v>18665.5</v>
      </c>
      <c r="C50">
        <v>4348.330078</v>
      </c>
      <c r="E50">
        <v>-5.6495440000000003E-3</v>
      </c>
      <c r="F50">
        <v>-7.6882879999999997E-3</v>
      </c>
    </row>
    <row r="51" spans="1:6" x14ac:dyDescent="0.35">
      <c r="A51" s="2">
        <v>45103</v>
      </c>
      <c r="B51">
        <v>18691.199219999999</v>
      </c>
      <c r="C51">
        <v>4328.8198240000002</v>
      </c>
      <c r="E51">
        <v>1.3758830000000001E-3</v>
      </c>
      <c r="F51">
        <v>-4.4969340000000002E-3</v>
      </c>
    </row>
    <row r="52" spans="1:6" x14ac:dyDescent="0.35">
      <c r="A52" s="2">
        <v>45104</v>
      </c>
      <c r="B52">
        <v>18817.400389999999</v>
      </c>
      <c r="C52">
        <v>4378.4101559999999</v>
      </c>
      <c r="E52">
        <v>6.7292109999999997E-3</v>
      </c>
      <c r="F52">
        <v>1.1390734E-2</v>
      </c>
    </row>
    <row r="53" spans="1:6" x14ac:dyDescent="0.35">
      <c r="A53" s="2">
        <v>45105</v>
      </c>
      <c r="B53">
        <v>18972.099610000001</v>
      </c>
      <c r="C53">
        <v>4376.8598629999997</v>
      </c>
      <c r="E53">
        <v>8.1874640000000002E-3</v>
      </c>
      <c r="F53">
        <v>-3.5413900000000001E-4</v>
      </c>
    </row>
    <row r="54" spans="1:6" x14ac:dyDescent="0.35">
      <c r="A54" s="2">
        <v>45107</v>
      </c>
      <c r="B54">
        <v>19189.050780000001</v>
      </c>
      <c r="C54">
        <v>4396.4399409999996</v>
      </c>
      <c r="E54">
        <v>1.1370386E-2</v>
      </c>
      <c r="F54">
        <v>4.4635680000000002E-3</v>
      </c>
    </row>
    <row r="55" spans="1:6" x14ac:dyDescent="0.35">
      <c r="A55" s="2">
        <v>45110</v>
      </c>
      <c r="B55">
        <v>19322.550780000001</v>
      </c>
      <c r="C55">
        <v>4450.3798829999996</v>
      </c>
      <c r="E55">
        <v>6.9330040000000004E-3</v>
      </c>
      <c r="F55">
        <v>1.219435E-2</v>
      </c>
    </row>
    <row r="56" spans="1:6" x14ac:dyDescent="0.35">
      <c r="A56" s="2">
        <v>45111</v>
      </c>
      <c r="B56">
        <v>19389</v>
      </c>
      <c r="C56">
        <v>4455.5898440000001</v>
      </c>
      <c r="E56">
        <v>3.4330469999999998E-3</v>
      </c>
      <c r="F56">
        <v>1.169993E-3</v>
      </c>
    </row>
    <row r="57" spans="1:6" x14ac:dyDescent="0.35">
      <c r="A57" s="2">
        <v>45112</v>
      </c>
      <c r="B57">
        <v>19398.5</v>
      </c>
      <c r="C57">
        <v>4446.8198240000002</v>
      </c>
      <c r="E57">
        <v>4.8984899999999999E-4</v>
      </c>
      <c r="F57">
        <v>-1.9702579999999999E-3</v>
      </c>
    </row>
    <row r="58" spans="1:6" x14ac:dyDescent="0.35">
      <c r="A58" s="2">
        <v>45113</v>
      </c>
      <c r="B58">
        <v>19497.300780000001</v>
      </c>
      <c r="C58">
        <v>4411.5898440000001</v>
      </c>
      <c r="E58">
        <v>5.0802909999999998E-3</v>
      </c>
      <c r="F58">
        <v>-7.9540610000000001E-3</v>
      </c>
    </row>
    <row r="59" spans="1:6" x14ac:dyDescent="0.35">
      <c r="A59" s="2">
        <v>45114</v>
      </c>
      <c r="B59">
        <v>19331.800780000001</v>
      </c>
      <c r="C59">
        <v>4398.9501950000003</v>
      </c>
      <c r="E59">
        <v>-8.5245860000000007E-3</v>
      </c>
      <c r="F59">
        <v>-2.8692129999999998E-3</v>
      </c>
    </row>
    <row r="60" spans="1:6" x14ac:dyDescent="0.35">
      <c r="A60" s="2">
        <v>45117</v>
      </c>
      <c r="B60">
        <v>19355.900389999999</v>
      </c>
      <c r="C60">
        <v>4409.5297849999997</v>
      </c>
      <c r="E60">
        <v>1.245854E-3</v>
      </c>
      <c r="F60">
        <v>2.4021390000000002E-3</v>
      </c>
    </row>
    <row r="61" spans="1:6" x14ac:dyDescent="0.35">
      <c r="A61" s="2">
        <v>45118</v>
      </c>
      <c r="B61">
        <v>19439.400389999999</v>
      </c>
      <c r="C61">
        <v>4439.2597660000001</v>
      </c>
      <c r="E61">
        <v>4.304652E-3</v>
      </c>
      <c r="F61">
        <v>6.7195839999999998E-3</v>
      </c>
    </row>
    <row r="62" spans="1:6" x14ac:dyDescent="0.35">
      <c r="A62" s="2">
        <v>45119</v>
      </c>
      <c r="B62">
        <v>19384.300780000001</v>
      </c>
      <c r="C62">
        <v>4472.1601559999999</v>
      </c>
      <c r="E62">
        <v>-2.8384539999999998E-3</v>
      </c>
      <c r="F62">
        <v>7.3839049999999996E-3</v>
      </c>
    </row>
    <row r="63" spans="1:6" x14ac:dyDescent="0.35">
      <c r="A63" s="2">
        <v>45120</v>
      </c>
      <c r="B63">
        <v>19413.75</v>
      </c>
      <c r="C63">
        <v>4510.0400390000004</v>
      </c>
      <c r="E63">
        <v>1.518078E-3</v>
      </c>
      <c r="F63">
        <v>8.4344829999999996E-3</v>
      </c>
    </row>
    <row r="64" spans="1:6" x14ac:dyDescent="0.35">
      <c r="A64" s="2">
        <v>45121</v>
      </c>
      <c r="B64">
        <v>19564.5</v>
      </c>
      <c r="C64">
        <v>4505.419922</v>
      </c>
      <c r="E64">
        <v>7.7351219999999997E-3</v>
      </c>
      <c r="F64">
        <v>-1.0249320000000001E-3</v>
      </c>
    </row>
    <row r="65" spans="1:6" x14ac:dyDescent="0.35">
      <c r="A65" s="2">
        <v>45124</v>
      </c>
      <c r="B65">
        <v>19711.449219999999</v>
      </c>
      <c r="C65">
        <v>4522.7900390000004</v>
      </c>
      <c r="E65">
        <v>7.4829459999999999E-3</v>
      </c>
      <c r="F65">
        <v>3.84797E-3</v>
      </c>
    </row>
    <row r="66" spans="1:6" x14ac:dyDescent="0.35">
      <c r="A66" s="2">
        <v>45125</v>
      </c>
      <c r="B66">
        <v>19749.25</v>
      </c>
      <c r="C66">
        <v>4554.9799800000001</v>
      </c>
      <c r="E66">
        <v>1.9158700000000001E-3</v>
      </c>
      <c r="F66">
        <v>7.0920669999999996E-3</v>
      </c>
    </row>
    <row r="67" spans="1:6" x14ac:dyDescent="0.35">
      <c r="A67" s="2">
        <v>45126</v>
      </c>
      <c r="B67">
        <v>19833.150389999999</v>
      </c>
      <c r="C67">
        <v>4565.7202150000003</v>
      </c>
      <c r="E67">
        <v>4.2392840000000003E-3</v>
      </c>
      <c r="F67">
        <v>2.355135E-3</v>
      </c>
    </row>
    <row r="68" spans="1:6" x14ac:dyDescent="0.35">
      <c r="A68" s="2">
        <v>45127</v>
      </c>
      <c r="B68">
        <v>19979.150389999999</v>
      </c>
      <c r="C68">
        <v>4534.8701170000004</v>
      </c>
      <c r="E68">
        <v>7.3344489999999998E-3</v>
      </c>
      <c r="F68">
        <v>-6.7798270000000004E-3</v>
      </c>
    </row>
    <row r="69" spans="1:6" x14ac:dyDescent="0.35">
      <c r="A69" s="2">
        <v>45128</v>
      </c>
      <c r="B69">
        <v>19745</v>
      </c>
      <c r="C69">
        <v>4536.3398440000001</v>
      </c>
      <c r="E69">
        <v>-1.1788955E-2</v>
      </c>
      <c r="F69">
        <v>3.2404200000000003E-4</v>
      </c>
    </row>
    <row r="70" spans="1:6" x14ac:dyDescent="0.35">
      <c r="A70" s="2">
        <v>45131</v>
      </c>
      <c r="B70">
        <v>19672.349610000001</v>
      </c>
      <c r="C70">
        <v>4554.6401370000003</v>
      </c>
      <c r="E70">
        <v>-3.6862179999999998E-3</v>
      </c>
      <c r="F70">
        <v>4.0260390000000004E-3</v>
      </c>
    </row>
    <row r="71" spans="1:6" x14ac:dyDescent="0.35">
      <c r="A71" s="2">
        <v>45132</v>
      </c>
      <c r="B71">
        <v>19680.599610000001</v>
      </c>
      <c r="C71">
        <v>4567.4599609999996</v>
      </c>
      <c r="E71">
        <v>4.1928199999999999E-4</v>
      </c>
      <c r="F71">
        <v>2.8107200000000001E-3</v>
      </c>
    </row>
    <row r="72" spans="1:6" x14ac:dyDescent="0.35">
      <c r="A72" s="2">
        <v>45133</v>
      </c>
      <c r="B72">
        <v>19778.300780000001</v>
      </c>
      <c r="C72">
        <v>4566.75</v>
      </c>
      <c r="E72">
        <v>4.9520570000000002E-3</v>
      </c>
      <c r="F72">
        <v>-1.55451E-4</v>
      </c>
    </row>
    <row r="73" spans="1:6" x14ac:dyDescent="0.35">
      <c r="A73" s="2">
        <v>45134</v>
      </c>
      <c r="B73">
        <v>19659.900389999999</v>
      </c>
      <c r="C73">
        <v>4537.4101559999999</v>
      </c>
      <c r="E73">
        <v>-6.0043680000000004E-3</v>
      </c>
      <c r="F73">
        <v>-6.4453929999999998E-3</v>
      </c>
    </row>
    <row r="74" spans="1:6" x14ac:dyDescent="0.35">
      <c r="A74" s="2">
        <v>45135</v>
      </c>
      <c r="B74">
        <v>19646.050780000001</v>
      </c>
      <c r="C74">
        <v>4582.2299800000001</v>
      </c>
      <c r="E74">
        <v>-7.0470799999999996E-4</v>
      </c>
      <c r="F74">
        <v>9.8293760000000008E-3</v>
      </c>
    </row>
    <row r="75" spans="1:6" x14ac:dyDescent="0.35">
      <c r="A75" s="2">
        <v>45138</v>
      </c>
      <c r="B75">
        <v>19753.800780000001</v>
      </c>
      <c r="C75">
        <v>4588.9599609999996</v>
      </c>
      <c r="E75">
        <v>5.4695769999999998E-3</v>
      </c>
      <c r="F75">
        <v>1.467636E-3</v>
      </c>
    </row>
    <row r="76" spans="1:6" x14ac:dyDescent="0.35">
      <c r="A76" s="2">
        <v>45139</v>
      </c>
      <c r="B76">
        <v>19733.550780000001</v>
      </c>
      <c r="C76">
        <v>4576.7299800000001</v>
      </c>
      <c r="E76">
        <v>-1.0256449999999999E-3</v>
      </c>
      <c r="F76">
        <v>-2.6686449999999999E-3</v>
      </c>
    </row>
    <row r="77" spans="1:6" x14ac:dyDescent="0.35">
      <c r="A77" s="2">
        <v>45140</v>
      </c>
      <c r="B77">
        <v>19526.550780000001</v>
      </c>
      <c r="C77">
        <v>4513.3901370000003</v>
      </c>
      <c r="E77">
        <v>-1.0545153999999999E-2</v>
      </c>
      <c r="F77">
        <v>-1.3936199999999999E-2</v>
      </c>
    </row>
    <row r="78" spans="1:6" x14ac:dyDescent="0.35">
      <c r="A78" s="2">
        <v>45141</v>
      </c>
      <c r="B78">
        <v>19381.650389999999</v>
      </c>
      <c r="C78">
        <v>4501.8901370000003</v>
      </c>
      <c r="E78">
        <v>-7.4483559999999997E-3</v>
      </c>
      <c r="F78">
        <v>-2.5512249999999998E-3</v>
      </c>
    </row>
    <row r="79" spans="1:6" x14ac:dyDescent="0.35">
      <c r="A79" s="2">
        <v>45142</v>
      </c>
      <c r="B79">
        <v>19517</v>
      </c>
      <c r="C79">
        <v>4478.0297849999997</v>
      </c>
      <c r="E79">
        <v>6.9591180000000002E-3</v>
      </c>
      <c r="F79">
        <v>-5.3141689999999997E-3</v>
      </c>
    </row>
    <row r="80" spans="1:6" x14ac:dyDescent="0.35">
      <c r="A80" s="2">
        <v>45145</v>
      </c>
      <c r="B80">
        <v>19597.300780000001</v>
      </c>
      <c r="C80">
        <v>4518.4399409999996</v>
      </c>
      <c r="E80">
        <v>4.105961E-3</v>
      </c>
      <c r="F80">
        <v>8.983619E-3</v>
      </c>
    </row>
    <row r="81" spans="1:6" x14ac:dyDescent="0.35">
      <c r="A81" s="2">
        <v>45146</v>
      </c>
      <c r="B81">
        <v>19570.849610000001</v>
      </c>
      <c r="C81">
        <v>4499.3798829999996</v>
      </c>
      <c r="E81">
        <v>-1.350647E-3</v>
      </c>
      <c r="F81">
        <v>-4.2272050000000004E-3</v>
      </c>
    </row>
    <row r="82" spans="1:6" x14ac:dyDescent="0.35">
      <c r="A82" s="2">
        <v>45147</v>
      </c>
      <c r="B82">
        <v>19632.550780000001</v>
      </c>
      <c r="C82">
        <v>4467.7099609999996</v>
      </c>
      <c r="E82">
        <v>3.147749E-3</v>
      </c>
      <c r="F82">
        <v>-7.0636190000000001E-3</v>
      </c>
    </row>
    <row r="83" spans="1:6" x14ac:dyDescent="0.35">
      <c r="A83" s="2">
        <v>45148</v>
      </c>
      <c r="B83">
        <v>19543.099610000001</v>
      </c>
      <c r="C83">
        <v>4468.830078</v>
      </c>
      <c r="E83">
        <v>-4.56668E-3</v>
      </c>
      <c r="F83">
        <v>2.5068200000000001E-4</v>
      </c>
    </row>
    <row r="84" spans="1:6" x14ac:dyDescent="0.35">
      <c r="A84" s="2">
        <v>45149</v>
      </c>
      <c r="B84">
        <v>19428.300780000001</v>
      </c>
      <c r="C84">
        <v>4464.0498049999997</v>
      </c>
      <c r="E84">
        <v>-5.8914570000000001E-3</v>
      </c>
      <c r="F84">
        <v>-1.0702649999999999E-3</v>
      </c>
    </row>
    <row r="85" spans="1:6" x14ac:dyDescent="0.35">
      <c r="A85" s="2">
        <v>45152</v>
      </c>
      <c r="B85">
        <v>19434.550780000001</v>
      </c>
      <c r="C85">
        <v>4489.7202150000003</v>
      </c>
      <c r="E85">
        <v>3.21644E-4</v>
      </c>
      <c r="F85">
        <v>5.7340050000000004E-3</v>
      </c>
    </row>
    <row r="86" spans="1:6" x14ac:dyDescent="0.35">
      <c r="A86" s="2">
        <v>45154</v>
      </c>
      <c r="B86">
        <v>19465</v>
      </c>
      <c r="C86">
        <v>4437.8598629999997</v>
      </c>
      <c r="E86">
        <v>1.565531E-3</v>
      </c>
      <c r="F86">
        <v>-1.1618139E-2</v>
      </c>
    </row>
    <row r="87" spans="1:6" x14ac:dyDescent="0.35">
      <c r="A87" s="2">
        <v>45155</v>
      </c>
      <c r="B87">
        <v>19365.25</v>
      </c>
      <c r="C87">
        <v>4404.330078</v>
      </c>
      <c r="E87">
        <v>-5.1377580000000001E-3</v>
      </c>
      <c r="F87">
        <v>-7.5840819999999998E-3</v>
      </c>
    </row>
    <row r="88" spans="1:6" x14ac:dyDescent="0.35">
      <c r="A88" s="2">
        <v>45156</v>
      </c>
      <c r="B88">
        <v>19310.150389999999</v>
      </c>
      <c r="C88">
        <v>4370.3598629999997</v>
      </c>
      <c r="E88">
        <v>-2.8493379999999999E-3</v>
      </c>
      <c r="F88">
        <v>-7.7428109999999996E-3</v>
      </c>
    </row>
    <row r="89" spans="1:6" x14ac:dyDescent="0.35">
      <c r="A89" s="2">
        <v>45159</v>
      </c>
      <c r="B89">
        <v>19393.599610000001</v>
      </c>
      <c r="C89">
        <v>4369.7099609999996</v>
      </c>
      <c r="E89">
        <v>4.3122100000000003E-3</v>
      </c>
      <c r="F89">
        <v>-1.4871799999999999E-4</v>
      </c>
    </row>
    <row r="90" spans="1:6" x14ac:dyDescent="0.35">
      <c r="A90" s="2">
        <v>45160</v>
      </c>
      <c r="B90">
        <v>19396.449219999999</v>
      </c>
      <c r="C90">
        <v>4399.7700199999999</v>
      </c>
      <c r="E90">
        <v>1.4692500000000001E-4</v>
      </c>
      <c r="F90">
        <v>6.8556349999999997E-3</v>
      </c>
    </row>
    <row r="91" spans="1:6" x14ac:dyDescent="0.35">
      <c r="A91" s="2">
        <v>45161</v>
      </c>
      <c r="B91">
        <v>19444</v>
      </c>
      <c r="C91">
        <v>4387.5498049999997</v>
      </c>
      <c r="E91">
        <v>2.44852E-3</v>
      </c>
      <c r="F91">
        <v>-2.7813310000000002E-3</v>
      </c>
    </row>
    <row r="92" spans="1:6" x14ac:dyDescent="0.35">
      <c r="A92" s="2">
        <v>45162</v>
      </c>
      <c r="B92">
        <v>19386.699219999999</v>
      </c>
      <c r="C92">
        <v>4436.0097660000001</v>
      </c>
      <c r="E92">
        <v>-2.9513159999999998E-3</v>
      </c>
      <c r="F92">
        <v>1.0984331E-2</v>
      </c>
    </row>
    <row r="93" spans="1:6" x14ac:dyDescent="0.35">
      <c r="A93" s="2">
        <v>45163</v>
      </c>
      <c r="B93">
        <v>19265.800780000001</v>
      </c>
      <c r="C93">
        <v>4376.3100590000004</v>
      </c>
      <c r="E93">
        <v>-6.2556799999999996E-3</v>
      </c>
      <c r="F93">
        <v>-1.3549354E-2</v>
      </c>
    </row>
    <row r="94" spans="1:6" x14ac:dyDescent="0.35">
      <c r="A94" s="2">
        <v>45166</v>
      </c>
      <c r="B94">
        <v>19306.050780000001</v>
      </c>
      <c r="C94">
        <v>4405.7099609999996</v>
      </c>
      <c r="E94">
        <v>2.0870149999999998E-3</v>
      </c>
      <c r="F94">
        <v>6.6955010000000004E-3</v>
      </c>
    </row>
    <row r="95" spans="1:6" x14ac:dyDescent="0.35">
      <c r="A95" s="2">
        <v>45167</v>
      </c>
      <c r="B95">
        <v>19342.650389999999</v>
      </c>
      <c r="C95">
        <v>4433.3100590000004</v>
      </c>
      <c r="E95">
        <v>1.8939639999999999E-3</v>
      </c>
      <c r="F95">
        <v>6.2450789999999997E-3</v>
      </c>
    </row>
    <row r="96" spans="1:6" x14ac:dyDescent="0.35">
      <c r="A96" s="2">
        <v>45168</v>
      </c>
      <c r="B96">
        <v>19347.449219999999</v>
      </c>
      <c r="C96">
        <v>4497.6298829999996</v>
      </c>
      <c r="E96">
        <v>2.48065E-4</v>
      </c>
      <c r="F96">
        <v>1.4404069E-2</v>
      </c>
    </row>
    <row r="97" spans="1:6" x14ac:dyDescent="0.35">
      <c r="A97" s="2">
        <v>45169</v>
      </c>
      <c r="B97">
        <v>19253.800780000001</v>
      </c>
      <c r="C97">
        <v>4514.8701170000004</v>
      </c>
      <c r="E97">
        <v>-4.852103E-3</v>
      </c>
      <c r="F97">
        <v>3.8258540000000001E-3</v>
      </c>
    </row>
    <row r="98" spans="1:6" x14ac:dyDescent="0.35">
      <c r="A98" s="2">
        <v>45170</v>
      </c>
      <c r="B98">
        <v>19435.300780000001</v>
      </c>
      <c r="C98">
        <v>4507.6601559999999</v>
      </c>
      <c r="E98">
        <v>9.3825560000000002E-3</v>
      </c>
      <c r="F98">
        <v>-1.598213E-3</v>
      </c>
    </row>
    <row r="99" spans="1:6" x14ac:dyDescent="0.35">
      <c r="A99" s="2">
        <v>45173</v>
      </c>
      <c r="B99">
        <v>19528.800780000001</v>
      </c>
      <c r="C99">
        <v>4515.7700199999999</v>
      </c>
      <c r="E99">
        <v>4.7992989999999999E-3</v>
      </c>
      <c r="F99">
        <v>1.7975129999999999E-3</v>
      </c>
    </row>
    <row r="100" spans="1:6" x14ac:dyDescent="0.35">
      <c r="A100" s="2">
        <v>45174</v>
      </c>
      <c r="B100">
        <v>19574.900389999999</v>
      </c>
      <c r="C100">
        <v>4496.830078</v>
      </c>
      <c r="E100">
        <v>2.3578140000000002E-3</v>
      </c>
      <c r="F100">
        <v>-4.2029980000000003E-3</v>
      </c>
    </row>
    <row r="101" spans="1:6" x14ac:dyDescent="0.35">
      <c r="A101" s="2">
        <v>45175</v>
      </c>
      <c r="B101">
        <v>19611.050780000001</v>
      </c>
      <c r="C101">
        <v>4465.4799800000001</v>
      </c>
      <c r="E101">
        <v>1.845069E-3</v>
      </c>
      <c r="F101">
        <v>-6.9960150000000004E-3</v>
      </c>
    </row>
    <row r="102" spans="1:6" x14ac:dyDescent="0.35">
      <c r="A102" s="2">
        <v>45176</v>
      </c>
      <c r="B102">
        <v>19727.050780000001</v>
      </c>
      <c r="C102">
        <v>4451.1401370000003</v>
      </c>
      <c r="E102">
        <v>5.897607E-3</v>
      </c>
      <c r="F102">
        <v>-3.2164329999999999E-3</v>
      </c>
    </row>
    <row r="103" spans="1:6" x14ac:dyDescent="0.35">
      <c r="A103" s="2">
        <v>45177</v>
      </c>
      <c r="B103">
        <v>19819.949219999999</v>
      </c>
      <c r="C103">
        <v>4457.4902339999999</v>
      </c>
      <c r="E103">
        <v>4.6981369999999998E-3</v>
      </c>
      <c r="F103">
        <v>1.4256060000000001E-3</v>
      </c>
    </row>
    <row r="104" spans="1:6" x14ac:dyDescent="0.35">
      <c r="A104" s="2">
        <v>45180</v>
      </c>
      <c r="B104">
        <v>19996.349610000001</v>
      </c>
      <c r="C104">
        <v>4487.4599609999996</v>
      </c>
      <c r="E104">
        <v>8.8607709999999999E-3</v>
      </c>
      <c r="F104">
        <v>6.7009519999999996E-3</v>
      </c>
    </row>
    <row r="105" spans="1:6" x14ac:dyDescent="0.35">
      <c r="A105" s="2">
        <v>45181</v>
      </c>
      <c r="B105">
        <v>19993.199219999999</v>
      </c>
      <c r="C105">
        <v>4461.8999020000001</v>
      </c>
      <c r="E105">
        <v>-1.5756099999999999E-4</v>
      </c>
      <c r="F105">
        <v>-5.7121689999999996E-3</v>
      </c>
    </row>
    <row r="106" spans="1:6" x14ac:dyDescent="0.35">
      <c r="A106" s="2">
        <v>45182</v>
      </c>
      <c r="B106">
        <v>20070</v>
      </c>
      <c r="C106">
        <v>4467.4399409999996</v>
      </c>
      <c r="E106">
        <v>3.8339860000000002E-3</v>
      </c>
      <c r="F106">
        <v>1.2408619999999999E-3</v>
      </c>
    </row>
    <row r="107" spans="1:6" x14ac:dyDescent="0.35">
      <c r="A107" s="2">
        <v>45183</v>
      </c>
      <c r="B107">
        <v>20103.099610000001</v>
      </c>
      <c r="C107">
        <v>4505.1000979999999</v>
      </c>
      <c r="E107">
        <v>1.64785E-3</v>
      </c>
      <c r="F107">
        <v>8.3945860000000008E-3</v>
      </c>
    </row>
    <row r="108" spans="1:6" x14ac:dyDescent="0.35">
      <c r="A108" s="2">
        <v>45184</v>
      </c>
      <c r="B108">
        <v>20192.349610000001</v>
      </c>
      <c r="C108">
        <v>4450.3198240000002</v>
      </c>
      <c r="E108">
        <v>4.4297879999999996E-3</v>
      </c>
      <c r="F108">
        <v>-1.2234146E-2</v>
      </c>
    </row>
    <row r="109" spans="1:6" x14ac:dyDescent="0.35">
      <c r="A109" s="2">
        <v>45187</v>
      </c>
      <c r="B109">
        <v>20133.300780000001</v>
      </c>
      <c r="C109">
        <v>4453.5297849999997</v>
      </c>
      <c r="E109">
        <v>-2.9286009999999999E-3</v>
      </c>
      <c r="F109">
        <v>7.2102799999999997E-4</v>
      </c>
    </row>
    <row r="110" spans="1:6" x14ac:dyDescent="0.35">
      <c r="A110" s="2">
        <v>45189</v>
      </c>
      <c r="B110">
        <v>19901.400389999999</v>
      </c>
      <c r="C110">
        <v>4443.9501950000003</v>
      </c>
      <c r="E110">
        <v>-1.1585099E-2</v>
      </c>
      <c r="F110">
        <v>-2.153327E-3</v>
      </c>
    </row>
    <row r="111" spans="1:6" x14ac:dyDescent="0.35">
      <c r="A111" s="2">
        <v>45190</v>
      </c>
      <c r="B111">
        <v>19742.349610000001</v>
      </c>
      <c r="C111">
        <v>4402.2001950000003</v>
      </c>
      <c r="E111">
        <v>-8.024046E-3</v>
      </c>
      <c r="F111">
        <v>-9.4392039999999997E-3</v>
      </c>
    </row>
    <row r="112" spans="1:6" x14ac:dyDescent="0.35">
      <c r="A112" s="2">
        <v>45191</v>
      </c>
      <c r="B112">
        <v>19674.25</v>
      </c>
      <c r="C112">
        <v>4330</v>
      </c>
      <c r="E112">
        <v>-3.455381E-3</v>
      </c>
      <c r="F112">
        <v>-1.6536918000000001E-2</v>
      </c>
    </row>
    <row r="113" spans="1:6" x14ac:dyDescent="0.35">
      <c r="A113" s="2">
        <v>45194</v>
      </c>
      <c r="B113">
        <v>19674.550780000001</v>
      </c>
      <c r="C113">
        <v>4320.0600590000004</v>
      </c>
      <c r="E113" s="5">
        <v>1.5299999999999999E-5</v>
      </c>
      <c r="F113">
        <v>-2.2982369999999998E-3</v>
      </c>
    </row>
    <row r="114" spans="1:6" x14ac:dyDescent="0.35">
      <c r="A114" s="2">
        <v>45195</v>
      </c>
      <c r="B114">
        <v>19664.699219999999</v>
      </c>
      <c r="C114">
        <v>4337.4399409999996</v>
      </c>
      <c r="E114">
        <v>-5.0085199999999998E-4</v>
      </c>
      <c r="F114">
        <v>4.014994E-3</v>
      </c>
    </row>
    <row r="115" spans="1:6" x14ac:dyDescent="0.35">
      <c r="A115" s="2">
        <v>45196</v>
      </c>
      <c r="B115">
        <v>19716.449219999999</v>
      </c>
      <c r="C115">
        <v>4273.5297849999997</v>
      </c>
      <c r="E115">
        <v>2.6281630000000002E-3</v>
      </c>
      <c r="F115">
        <v>-1.4844164999999999E-2</v>
      </c>
    </row>
    <row r="116" spans="1:6" x14ac:dyDescent="0.35">
      <c r="A116" s="2">
        <v>45197</v>
      </c>
      <c r="B116">
        <v>19523.550780000001</v>
      </c>
      <c r="C116">
        <v>4274.5097660000001</v>
      </c>
      <c r="E116">
        <v>-9.8318039999999995E-3</v>
      </c>
      <c r="F116">
        <v>2.2928799999999999E-4</v>
      </c>
    </row>
    <row r="117" spans="1:6" x14ac:dyDescent="0.35">
      <c r="A117" s="2">
        <v>45198</v>
      </c>
      <c r="B117">
        <v>19638.300780000001</v>
      </c>
      <c r="C117">
        <v>4299.7001950000003</v>
      </c>
      <c r="E117">
        <v>5.8603120000000003E-3</v>
      </c>
      <c r="F117">
        <v>5.8758769999999998E-3</v>
      </c>
    </row>
    <row r="118" spans="1:6" x14ac:dyDescent="0.35">
      <c r="A118" s="2">
        <v>45202</v>
      </c>
      <c r="B118">
        <v>19528.75</v>
      </c>
      <c r="C118">
        <v>4288.0498049999997</v>
      </c>
      <c r="E118">
        <v>-5.5940419999999996E-3</v>
      </c>
      <c r="F118">
        <v>-2.7132599999999999E-3</v>
      </c>
    </row>
    <row r="119" spans="1:6" x14ac:dyDescent="0.35">
      <c r="A119" s="2">
        <v>45203</v>
      </c>
      <c r="B119">
        <v>19436.099610000001</v>
      </c>
      <c r="C119">
        <v>4288.3901370000003</v>
      </c>
      <c r="E119">
        <v>-4.7555970000000003E-3</v>
      </c>
      <c r="F119" s="5">
        <v>7.9400000000000006E-5</v>
      </c>
    </row>
    <row r="120" spans="1:6" x14ac:dyDescent="0.35">
      <c r="A120" s="2">
        <v>45204</v>
      </c>
      <c r="B120">
        <v>19545.75</v>
      </c>
      <c r="C120">
        <v>4229.4501950000003</v>
      </c>
      <c r="E120">
        <v>5.6257299999999998E-3</v>
      </c>
      <c r="F120">
        <v>-1.3839396E-2</v>
      </c>
    </row>
    <row r="121" spans="1:6" x14ac:dyDescent="0.35">
      <c r="A121" s="2">
        <v>45205</v>
      </c>
      <c r="B121">
        <v>19653.5</v>
      </c>
      <c r="C121">
        <v>4263.75</v>
      </c>
      <c r="E121">
        <v>5.4975680000000004E-3</v>
      </c>
      <c r="F121">
        <v>8.0770479999999999E-3</v>
      </c>
    </row>
    <row r="122" spans="1:6" x14ac:dyDescent="0.35">
      <c r="A122" s="2">
        <v>45208</v>
      </c>
      <c r="B122">
        <v>19512.349610000001</v>
      </c>
      <c r="C122">
        <v>4258.1899409999996</v>
      </c>
      <c r="E122">
        <v>-7.2078610000000003E-3</v>
      </c>
      <c r="F122">
        <v>-1.3048809999999999E-3</v>
      </c>
    </row>
    <row r="123" spans="1:6" x14ac:dyDescent="0.35">
      <c r="A123" s="2">
        <v>45209</v>
      </c>
      <c r="B123">
        <v>19689.849610000001</v>
      </c>
      <c r="C123">
        <v>4308.5</v>
      </c>
      <c r="E123">
        <v>9.0556760000000004E-3</v>
      </c>
      <c r="F123">
        <v>1.1745642000000001E-2</v>
      </c>
    </row>
    <row r="124" spans="1:6" x14ac:dyDescent="0.35">
      <c r="A124" s="2">
        <v>45210</v>
      </c>
      <c r="B124">
        <v>19811.349610000001</v>
      </c>
      <c r="C124">
        <v>4335.6601559999999</v>
      </c>
      <c r="E124">
        <v>6.1517309999999997E-3</v>
      </c>
      <c r="F124">
        <v>6.2840680000000003E-3</v>
      </c>
    </row>
    <row r="125" spans="1:6" x14ac:dyDescent="0.35">
      <c r="A125" s="2">
        <v>45211</v>
      </c>
      <c r="B125">
        <v>19794</v>
      </c>
      <c r="C125">
        <v>4358.2402339999999</v>
      </c>
      <c r="E125">
        <v>-8.7612499999999995E-4</v>
      </c>
      <c r="F125">
        <v>5.194476E-3</v>
      </c>
    </row>
    <row r="126" spans="1:6" x14ac:dyDescent="0.35">
      <c r="A126" s="2">
        <v>45212</v>
      </c>
      <c r="B126">
        <v>19751.050780000001</v>
      </c>
      <c r="C126">
        <v>4376.9501950000003</v>
      </c>
      <c r="E126">
        <v>-2.172167E-3</v>
      </c>
      <c r="F126">
        <v>4.2838199999999998E-3</v>
      </c>
    </row>
    <row r="127" spans="1:6" x14ac:dyDescent="0.35">
      <c r="A127" s="2">
        <v>45215</v>
      </c>
      <c r="B127">
        <v>19731.75</v>
      </c>
      <c r="C127">
        <v>4349.6098629999997</v>
      </c>
      <c r="E127">
        <v>-9.7768099999999999E-4</v>
      </c>
      <c r="F127">
        <v>-6.2660249999999997E-3</v>
      </c>
    </row>
    <row r="128" spans="1:6" x14ac:dyDescent="0.35">
      <c r="A128" s="2">
        <v>45216</v>
      </c>
      <c r="B128">
        <v>19811.5</v>
      </c>
      <c r="C128">
        <v>4327.7797849999997</v>
      </c>
      <c r="E128">
        <v>4.0335639999999999E-3</v>
      </c>
      <c r="F128">
        <v>-5.0314959999999999E-3</v>
      </c>
    </row>
    <row r="129" spans="1:6" x14ac:dyDescent="0.35">
      <c r="A129" s="2">
        <v>45217</v>
      </c>
      <c r="B129">
        <v>19671.099610000001</v>
      </c>
      <c r="C129">
        <v>4373.6298829999996</v>
      </c>
      <c r="E129">
        <v>-7.1120430000000002E-3</v>
      </c>
      <c r="F129">
        <v>1.0538642000000001E-2</v>
      </c>
    </row>
    <row r="130" spans="1:6" x14ac:dyDescent="0.35">
      <c r="A130" s="2">
        <v>45218</v>
      </c>
      <c r="B130">
        <v>19624.699219999999</v>
      </c>
      <c r="C130">
        <v>4373.2001950000003</v>
      </c>
      <c r="E130">
        <v>-2.361597E-3</v>
      </c>
      <c r="F130" s="5">
        <v>-9.8300000000000004E-5</v>
      </c>
    </row>
    <row r="131" spans="1:6" x14ac:dyDescent="0.35">
      <c r="A131" s="2">
        <v>45219</v>
      </c>
      <c r="B131">
        <v>19542.650389999999</v>
      </c>
      <c r="C131">
        <v>4314.6000979999999</v>
      </c>
      <c r="E131">
        <v>-4.1896600000000004E-3</v>
      </c>
      <c r="F131">
        <v>-1.3490408000000001E-2</v>
      </c>
    </row>
    <row r="132" spans="1:6" x14ac:dyDescent="0.35">
      <c r="A132" s="2">
        <v>45222</v>
      </c>
      <c r="B132">
        <v>19281.75</v>
      </c>
      <c r="C132">
        <v>4278</v>
      </c>
      <c r="E132">
        <v>-1.3440224000000001E-2</v>
      </c>
      <c r="F132">
        <v>-8.5190319999999993E-3</v>
      </c>
    </row>
    <row r="133" spans="1:6" x14ac:dyDescent="0.35">
      <c r="A133" s="2">
        <v>45224</v>
      </c>
      <c r="B133">
        <v>19122.150389999999</v>
      </c>
      <c r="C133">
        <v>4224.1601559999999</v>
      </c>
      <c r="E133">
        <v>-8.3116830000000003E-3</v>
      </c>
      <c r="F133">
        <v>-1.2665149000000001E-2</v>
      </c>
    </row>
    <row r="134" spans="1:6" x14ac:dyDescent="0.35">
      <c r="A134" s="2">
        <v>45225</v>
      </c>
      <c r="B134">
        <v>18857.25</v>
      </c>
      <c r="C134">
        <v>4217.0400390000004</v>
      </c>
      <c r="E134">
        <v>-1.3949914000000001E-2</v>
      </c>
      <c r="F134">
        <v>-1.686992E-3</v>
      </c>
    </row>
    <row r="135" spans="1:6" x14ac:dyDescent="0.35">
      <c r="A135" s="2">
        <v>45226</v>
      </c>
      <c r="B135">
        <v>19047.25</v>
      </c>
      <c r="C135">
        <v>4247.6801759999998</v>
      </c>
      <c r="E135">
        <v>1.0025279E-2</v>
      </c>
      <c r="F135">
        <v>7.2395239999999998E-3</v>
      </c>
    </row>
    <row r="136" spans="1:6" x14ac:dyDescent="0.35">
      <c r="A136" s="2">
        <v>45229</v>
      </c>
      <c r="B136">
        <v>19140.900389999999</v>
      </c>
      <c r="C136">
        <v>4186.7700199999999</v>
      </c>
      <c r="E136">
        <v>4.9046929999999999E-3</v>
      </c>
      <c r="F136">
        <v>-1.4443434999999999E-2</v>
      </c>
    </row>
    <row r="137" spans="1:6" x14ac:dyDescent="0.35">
      <c r="A137" s="2">
        <v>45230</v>
      </c>
      <c r="B137">
        <v>19079.599610000001</v>
      </c>
      <c r="C137">
        <v>4137.2299800000001</v>
      </c>
      <c r="E137">
        <v>-3.207746E-3</v>
      </c>
      <c r="F137">
        <v>-1.1903080999999999E-2</v>
      </c>
    </row>
    <row r="138" spans="1:6" x14ac:dyDescent="0.35">
      <c r="A138" s="2">
        <v>45231</v>
      </c>
      <c r="B138">
        <v>18989.150389999999</v>
      </c>
      <c r="C138">
        <v>4117.3701170000004</v>
      </c>
      <c r="E138">
        <v>-4.7518969999999997E-3</v>
      </c>
      <c r="F138">
        <v>-4.811839E-3</v>
      </c>
    </row>
    <row r="139" spans="1:6" x14ac:dyDescent="0.35">
      <c r="A139" s="2">
        <v>45232</v>
      </c>
      <c r="B139">
        <v>19133.25</v>
      </c>
      <c r="C139">
        <v>4166.8198240000002</v>
      </c>
      <c r="E139">
        <v>7.5598749999999998E-3</v>
      </c>
      <c r="F139">
        <v>1.1938473999999999E-2</v>
      </c>
    </row>
    <row r="140" spans="1:6" x14ac:dyDescent="0.35">
      <c r="A140" s="2">
        <v>45233</v>
      </c>
      <c r="B140">
        <v>19230.599610000001</v>
      </c>
      <c r="C140">
        <v>4193.7998049999997</v>
      </c>
      <c r="E140">
        <v>5.0750810000000004E-3</v>
      </c>
      <c r="F140">
        <v>6.454085E-3</v>
      </c>
    </row>
    <row r="141" spans="1:6" x14ac:dyDescent="0.35">
      <c r="A141" s="2">
        <v>45236</v>
      </c>
      <c r="B141">
        <v>19411.75</v>
      </c>
      <c r="C141">
        <v>4237.8598629999997</v>
      </c>
      <c r="E141">
        <v>9.3758130000000002E-3</v>
      </c>
      <c r="F141">
        <v>1.0451195E-2</v>
      </c>
    </row>
    <row r="142" spans="1:6" x14ac:dyDescent="0.35">
      <c r="A142" s="2">
        <v>45237</v>
      </c>
      <c r="B142">
        <v>19406.699219999999</v>
      </c>
      <c r="C142">
        <v>4317.7797849999997</v>
      </c>
      <c r="E142">
        <v>-2.6022600000000001E-4</v>
      </c>
      <c r="F142">
        <v>1.8682938999999999E-2</v>
      </c>
    </row>
    <row r="143" spans="1:6" x14ac:dyDescent="0.35">
      <c r="A143" s="2">
        <v>45238</v>
      </c>
      <c r="B143">
        <v>19443.5</v>
      </c>
      <c r="C143">
        <v>4358.3398440000001</v>
      </c>
      <c r="E143">
        <v>1.894497E-3</v>
      </c>
      <c r="F143">
        <v>9.3498839999999993E-3</v>
      </c>
    </row>
    <row r="144" spans="1:6" x14ac:dyDescent="0.35">
      <c r="A144" s="2">
        <v>45239</v>
      </c>
      <c r="B144">
        <v>19395.300780000001</v>
      </c>
      <c r="C144">
        <v>4365.9799800000001</v>
      </c>
      <c r="E144">
        <v>-2.4820150000000002E-3</v>
      </c>
      <c r="F144">
        <v>1.751458E-3</v>
      </c>
    </row>
    <row r="145" spans="1:6" x14ac:dyDescent="0.35">
      <c r="A145" s="2">
        <v>45240</v>
      </c>
      <c r="B145">
        <v>19425.349610000001</v>
      </c>
      <c r="C145">
        <v>4378.3798829999996</v>
      </c>
      <c r="E145">
        <v>1.548085E-3</v>
      </c>
      <c r="F145">
        <v>2.8360939999999999E-3</v>
      </c>
    </row>
    <row r="146" spans="1:6" x14ac:dyDescent="0.35">
      <c r="A146" s="2">
        <v>45243</v>
      </c>
      <c r="B146">
        <v>19443.550780000001</v>
      </c>
      <c r="C146">
        <v>4382.7797849999997</v>
      </c>
      <c r="E146">
        <v>9.3654199999999995E-4</v>
      </c>
      <c r="F146">
        <v>1.004411E-3</v>
      </c>
    </row>
    <row r="147" spans="1:6" x14ac:dyDescent="0.35">
      <c r="A147" s="2">
        <v>45245</v>
      </c>
      <c r="B147">
        <v>19675.449219999999</v>
      </c>
      <c r="C147">
        <v>4347.3500979999999</v>
      </c>
      <c r="E147">
        <v>1.1856190000000001E-2</v>
      </c>
      <c r="F147">
        <v>-8.1166910000000005E-3</v>
      </c>
    </row>
    <row r="148" spans="1:6" x14ac:dyDescent="0.35">
      <c r="A148" s="2">
        <v>45246</v>
      </c>
      <c r="B148">
        <v>19765.199219999999</v>
      </c>
      <c r="C148">
        <v>4415.2402339999999</v>
      </c>
      <c r="E148">
        <v>4.5511500000000003E-3</v>
      </c>
      <c r="F148">
        <v>1.5495759E-2</v>
      </c>
    </row>
    <row r="149" spans="1:6" x14ac:dyDescent="0.35">
      <c r="A149" s="2">
        <v>45247</v>
      </c>
      <c r="B149">
        <v>19731.800780000001</v>
      </c>
      <c r="C149">
        <v>4411.5498049999997</v>
      </c>
      <c r="E149">
        <v>-1.6911890000000001E-3</v>
      </c>
      <c r="F149">
        <v>-8.3618799999999997E-4</v>
      </c>
    </row>
    <row r="150" spans="1:6" x14ac:dyDescent="0.35">
      <c r="A150" s="2">
        <v>45250</v>
      </c>
      <c r="B150">
        <v>19694</v>
      </c>
      <c r="C150">
        <v>4495.7001950000003</v>
      </c>
      <c r="E150">
        <v>-1.9175660000000001E-3</v>
      </c>
      <c r="F150">
        <v>1.8895370000000002E-2</v>
      </c>
    </row>
    <row r="151" spans="1:6" x14ac:dyDescent="0.35">
      <c r="A151" s="2">
        <v>45251</v>
      </c>
      <c r="B151">
        <v>19783.400389999999</v>
      </c>
      <c r="C151">
        <v>4502.8798829999996</v>
      </c>
      <c r="E151">
        <v>4.5292010000000001E-3</v>
      </c>
      <c r="F151">
        <v>1.595738E-3</v>
      </c>
    </row>
    <row r="152" spans="1:6" x14ac:dyDescent="0.35">
      <c r="A152" s="2">
        <v>45252</v>
      </c>
      <c r="B152">
        <v>19811.849610000001</v>
      </c>
      <c r="C152">
        <v>4508.2402339999999</v>
      </c>
      <c r="E152">
        <v>1.4370019999999999E-3</v>
      </c>
      <c r="F152">
        <v>1.1897190000000001E-3</v>
      </c>
    </row>
    <row r="153" spans="1:6" x14ac:dyDescent="0.35">
      <c r="A153" s="2">
        <v>45253</v>
      </c>
      <c r="B153">
        <v>19802</v>
      </c>
      <c r="C153">
        <v>4514.0200199999999</v>
      </c>
      <c r="E153">
        <v>-4.9728100000000003E-4</v>
      </c>
      <c r="F153">
        <v>1.2812279999999999E-3</v>
      </c>
    </row>
    <row r="154" spans="1:6" x14ac:dyDescent="0.35">
      <c r="A154" s="2">
        <v>45254</v>
      </c>
      <c r="B154">
        <v>19794.699219999999</v>
      </c>
      <c r="C154">
        <v>4547.3798829999996</v>
      </c>
      <c r="E154">
        <v>-3.6875699999999999E-4</v>
      </c>
      <c r="F154">
        <v>7.3631039999999997E-3</v>
      </c>
    </row>
    <row r="155" spans="1:6" x14ac:dyDescent="0.35">
      <c r="A155" s="2">
        <v>45258</v>
      </c>
      <c r="B155">
        <v>19889.699219999999</v>
      </c>
      <c r="C155">
        <v>4538.1899409999996</v>
      </c>
      <c r="E155">
        <v>4.7877850000000001E-3</v>
      </c>
      <c r="F155">
        <v>-2.0229760000000001E-3</v>
      </c>
    </row>
    <row r="156" spans="1:6" x14ac:dyDescent="0.35">
      <c r="A156" s="2">
        <v>45259</v>
      </c>
      <c r="B156">
        <v>20096.599610000001</v>
      </c>
      <c r="C156">
        <v>4556.6201170000004</v>
      </c>
      <c r="E156">
        <v>1.0348657000000001E-2</v>
      </c>
      <c r="F156">
        <v>4.0529049999999999E-3</v>
      </c>
    </row>
    <row r="157" spans="1:6" x14ac:dyDescent="0.35">
      <c r="A157" s="2">
        <v>45260</v>
      </c>
      <c r="B157">
        <v>20133.150389999999</v>
      </c>
      <c r="C157">
        <v>4559.3398440000001</v>
      </c>
      <c r="E157">
        <v>1.817103E-3</v>
      </c>
      <c r="F157">
        <v>5.9669599999999997E-4</v>
      </c>
    </row>
    <row r="158" spans="1:6" x14ac:dyDescent="0.35">
      <c r="A158" s="2">
        <v>45261</v>
      </c>
      <c r="B158">
        <v>20267.900389999999</v>
      </c>
      <c r="C158">
        <v>4550.4301759999998</v>
      </c>
      <c r="E158">
        <v>6.6706430000000004E-3</v>
      </c>
      <c r="F158">
        <v>-1.956069E-3</v>
      </c>
    </row>
    <row r="159" spans="1:6" x14ac:dyDescent="0.35">
      <c r="A159" s="2">
        <v>45264</v>
      </c>
      <c r="B159">
        <v>20686.800780000001</v>
      </c>
      <c r="C159">
        <v>4554.8901370000003</v>
      </c>
      <c r="E159">
        <v>2.045748E-2</v>
      </c>
      <c r="F159">
        <v>9.7963900000000003E-4</v>
      </c>
    </row>
    <row r="160" spans="1:6" x14ac:dyDescent="0.35">
      <c r="A160" s="2">
        <v>45265</v>
      </c>
      <c r="B160">
        <v>20855.099610000001</v>
      </c>
      <c r="C160">
        <v>4550.580078</v>
      </c>
      <c r="E160">
        <v>8.1026499999999994E-3</v>
      </c>
      <c r="F160">
        <v>-9.4669700000000003E-4</v>
      </c>
    </row>
    <row r="161" spans="1:6" x14ac:dyDescent="0.35">
      <c r="A161" s="2">
        <v>45266</v>
      </c>
      <c r="B161">
        <v>20937.699219999999</v>
      </c>
      <c r="C161">
        <v>4567.7998049999997</v>
      </c>
      <c r="E161">
        <v>3.9528209999999996E-3</v>
      </c>
      <c r="F161">
        <v>3.7769309999999999E-3</v>
      </c>
    </row>
    <row r="162" spans="1:6" x14ac:dyDescent="0.35">
      <c r="A162" s="2">
        <v>45267</v>
      </c>
      <c r="B162">
        <v>20901.150389999999</v>
      </c>
      <c r="C162">
        <v>4594.6298829999996</v>
      </c>
      <c r="E162">
        <v>-1.7471240000000001E-3</v>
      </c>
      <c r="F162">
        <v>5.8565589999999999E-3</v>
      </c>
    </row>
    <row r="163" spans="1:6" x14ac:dyDescent="0.35">
      <c r="A163" s="2">
        <v>45268</v>
      </c>
      <c r="B163">
        <v>20969.400389999999</v>
      </c>
      <c r="C163">
        <v>4569.7797849999997</v>
      </c>
      <c r="E163">
        <v>3.2600509999999999E-3</v>
      </c>
      <c r="F163">
        <v>-5.4231879999999998E-3</v>
      </c>
    </row>
    <row r="164" spans="1:6" x14ac:dyDescent="0.35">
      <c r="A164" s="2">
        <v>45271</v>
      </c>
      <c r="B164">
        <v>20997.099610000001</v>
      </c>
      <c r="C164">
        <v>4567.1801759999998</v>
      </c>
      <c r="E164">
        <v>1.320063E-3</v>
      </c>
      <c r="F164">
        <v>-5.6903200000000002E-4</v>
      </c>
    </row>
    <row r="165" spans="1:6" x14ac:dyDescent="0.35">
      <c r="A165" s="2">
        <v>45272</v>
      </c>
      <c r="B165">
        <v>20906.400389999999</v>
      </c>
      <c r="C165">
        <v>4549.3398440000001</v>
      </c>
      <c r="E165">
        <v>-4.3289629999999999E-3</v>
      </c>
      <c r="F165">
        <v>-3.9138519999999998E-3</v>
      </c>
    </row>
    <row r="166" spans="1:6" x14ac:dyDescent="0.35">
      <c r="A166" s="2">
        <v>45273</v>
      </c>
      <c r="B166">
        <v>20926.349610000001</v>
      </c>
      <c r="C166">
        <v>4585.5898440000001</v>
      </c>
      <c r="E166">
        <v>9.5376100000000002E-4</v>
      </c>
      <c r="F166">
        <v>7.9366109999999997E-3</v>
      </c>
    </row>
    <row r="167" spans="1:6" x14ac:dyDescent="0.35">
      <c r="A167" s="2">
        <v>45274</v>
      </c>
      <c r="B167">
        <v>21182.699219999999</v>
      </c>
      <c r="C167">
        <v>4604.3701170000004</v>
      </c>
      <c r="E167">
        <v>1.2175662E-2</v>
      </c>
      <c r="F167">
        <v>4.0871340000000001E-3</v>
      </c>
    </row>
    <row r="168" spans="1:6" x14ac:dyDescent="0.35">
      <c r="A168" s="2">
        <v>45275</v>
      </c>
      <c r="B168">
        <v>21456.650389999999</v>
      </c>
      <c r="C168">
        <v>4622.4399409999996</v>
      </c>
      <c r="E168">
        <v>1.2849865E-2</v>
      </c>
      <c r="F168">
        <v>3.9168140000000002E-3</v>
      </c>
    </row>
    <row r="169" spans="1:6" x14ac:dyDescent="0.35">
      <c r="A169" s="2">
        <v>45278</v>
      </c>
      <c r="B169">
        <v>21418.650389999999</v>
      </c>
      <c r="C169">
        <v>4643.7001950000003</v>
      </c>
      <c r="E169">
        <v>-1.7725830000000001E-3</v>
      </c>
      <c r="F169">
        <v>4.5888129999999997E-3</v>
      </c>
    </row>
    <row r="170" spans="1:6" x14ac:dyDescent="0.35">
      <c r="A170" s="2">
        <v>45279</v>
      </c>
      <c r="B170">
        <v>21453.099610000001</v>
      </c>
      <c r="C170">
        <v>4707.0898440000001</v>
      </c>
      <c r="E170">
        <v>1.607083E-3</v>
      </c>
      <c r="F170">
        <v>1.3558344999999999E-2</v>
      </c>
    </row>
    <row r="171" spans="1:6" x14ac:dyDescent="0.35">
      <c r="A171" s="2">
        <v>45280</v>
      </c>
      <c r="B171">
        <v>21150.150389999999</v>
      </c>
      <c r="C171">
        <v>4719.5498049999997</v>
      </c>
      <c r="E171">
        <v>-1.4222123E-2</v>
      </c>
      <c r="F171">
        <v>2.6435650000000001E-3</v>
      </c>
    </row>
    <row r="172" spans="1:6" x14ac:dyDescent="0.35">
      <c r="A172" s="2">
        <v>45281</v>
      </c>
      <c r="B172">
        <v>21255.050780000001</v>
      </c>
      <c r="C172">
        <v>4719.1899409999996</v>
      </c>
      <c r="E172">
        <v>4.9475350000000003E-3</v>
      </c>
      <c r="F172" s="5">
        <v>-7.6299999999999998E-5</v>
      </c>
    </row>
    <row r="173" spans="1:6" x14ac:dyDescent="0.35">
      <c r="A173" s="2">
        <v>45282</v>
      </c>
      <c r="B173">
        <v>21349.400389999999</v>
      </c>
      <c r="C173">
        <v>4740.5600590000004</v>
      </c>
      <c r="E173">
        <v>4.4291039999999997E-3</v>
      </c>
      <c r="F173">
        <v>4.5181220000000003E-3</v>
      </c>
    </row>
    <row r="174" spans="1:6" x14ac:dyDescent="0.35">
      <c r="A174" s="2">
        <v>45286</v>
      </c>
      <c r="B174">
        <v>21441.349610000001</v>
      </c>
      <c r="C174">
        <v>4768.3701170000004</v>
      </c>
      <c r="E174">
        <v>4.2976280000000004E-3</v>
      </c>
      <c r="F174">
        <v>5.849267E-3</v>
      </c>
    </row>
    <row r="175" spans="1:6" x14ac:dyDescent="0.35">
      <c r="A175" s="2">
        <v>45287</v>
      </c>
      <c r="B175">
        <v>21654.75</v>
      </c>
      <c r="C175">
        <v>4698.3500979999999</v>
      </c>
      <c r="E175">
        <v>9.9035479999999999E-3</v>
      </c>
      <c r="F175">
        <v>-1.4793148000000001E-2</v>
      </c>
    </row>
    <row r="176" spans="1:6" x14ac:dyDescent="0.35">
      <c r="A176" s="2">
        <v>45288</v>
      </c>
      <c r="B176">
        <v>21778.699219999999</v>
      </c>
      <c r="C176">
        <v>4746.75</v>
      </c>
      <c r="E176">
        <v>5.7075620000000002E-3</v>
      </c>
      <c r="F176">
        <v>1.0248769E-2</v>
      </c>
    </row>
    <row r="177" spans="1:6" x14ac:dyDescent="0.35">
      <c r="A177" s="2">
        <v>45289</v>
      </c>
      <c r="B177">
        <v>21731.400389999999</v>
      </c>
      <c r="C177">
        <v>4754.6298829999996</v>
      </c>
      <c r="E177">
        <v>-2.1741550000000001E-3</v>
      </c>
      <c r="F177">
        <v>1.6586820000000001E-3</v>
      </c>
    </row>
    <row r="178" spans="1:6" x14ac:dyDescent="0.35">
      <c r="A178" s="2">
        <v>45292</v>
      </c>
      <c r="B178">
        <v>21741.900389999999</v>
      </c>
      <c r="C178">
        <v>4774.75</v>
      </c>
      <c r="E178">
        <v>4.8305499999999998E-4</v>
      </c>
      <c r="F178">
        <v>4.2227610000000002E-3</v>
      </c>
    </row>
    <row r="179" spans="1:6" x14ac:dyDescent="0.35">
      <c r="A179" s="2">
        <v>45293</v>
      </c>
      <c r="B179">
        <v>21665.800780000001</v>
      </c>
      <c r="C179">
        <v>4781.580078</v>
      </c>
      <c r="E179">
        <v>-3.506276E-3</v>
      </c>
      <c r="F179">
        <v>1.4294360000000001E-3</v>
      </c>
    </row>
    <row r="180" spans="1:6" x14ac:dyDescent="0.35">
      <c r="A180" s="2">
        <v>45294</v>
      </c>
      <c r="B180">
        <v>21517.349610000001</v>
      </c>
      <c r="C180">
        <v>4783.3500979999999</v>
      </c>
      <c r="E180">
        <v>-6.8754480000000001E-3</v>
      </c>
      <c r="F180">
        <v>3.7010599999999998E-4</v>
      </c>
    </row>
    <row r="181" spans="1:6" x14ac:dyDescent="0.35">
      <c r="A181" s="2">
        <v>45295</v>
      </c>
      <c r="B181">
        <v>21658.599610000001</v>
      </c>
      <c r="C181">
        <v>4769.830078</v>
      </c>
      <c r="E181">
        <v>6.5430180000000003E-3</v>
      </c>
      <c r="F181">
        <v>-2.8304770000000001E-3</v>
      </c>
    </row>
    <row r="182" spans="1:6" x14ac:dyDescent="0.35">
      <c r="A182" s="2">
        <v>45296</v>
      </c>
      <c r="B182">
        <v>21710.800780000001</v>
      </c>
      <c r="C182">
        <v>4742.830078</v>
      </c>
      <c r="E182">
        <v>2.4072820000000002E-3</v>
      </c>
      <c r="F182">
        <v>-5.6766610000000004E-3</v>
      </c>
    </row>
    <row r="183" spans="1:6" x14ac:dyDescent="0.35">
      <c r="A183" s="2">
        <v>45299</v>
      </c>
      <c r="B183">
        <v>21513</v>
      </c>
      <c r="C183">
        <v>4704.8100590000004</v>
      </c>
      <c r="E183">
        <v>-9.1524650000000003E-3</v>
      </c>
      <c r="F183">
        <v>-8.0486180000000004E-3</v>
      </c>
    </row>
    <row r="184" spans="1:6" x14ac:dyDescent="0.35">
      <c r="A184" s="2">
        <v>45300</v>
      </c>
      <c r="B184">
        <v>21544.849610000001</v>
      </c>
      <c r="C184">
        <v>4688.6801759999998</v>
      </c>
      <c r="E184">
        <v>1.479387E-3</v>
      </c>
      <c r="F184">
        <v>-3.4342719999999999E-3</v>
      </c>
    </row>
    <row r="185" spans="1:6" x14ac:dyDescent="0.35">
      <c r="A185" s="2">
        <v>45301</v>
      </c>
      <c r="B185">
        <v>21618.699219999999</v>
      </c>
      <c r="C185">
        <v>4697.2402339999999</v>
      </c>
      <c r="E185">
        <v>3.4218540000000002E-3</v>
      </c>
      <c r="F185">
        <v>1.824022E-3</v>
      </c>
    </row>
    <row r="186" spans="1:6" x14ac:dyDescent="0.35">
      <c r="A186" s="2">
        <v>45302</v>
      </c>
      <c r="B186">
        <v>21647.199219999999</v>
      </c>
      <c r="C186">
        <v>4763.5400390000004</v>
      </c>
      <c r="E186">
        <v>1.317435E-3</v>
      </c>
      <c r="F186">
        <v>1.4015946E-2</v>
      </c>
    </row>
    <row r="187" spans="1:6" x14ac:dyDescent="0.35">
      <c r="A187" s="2">
        <v>45303</v>
      </c>
      <c r="B187">
        <v>21894.550780000001</v>
      </c>
      <c r="C187">
        <v>4756.5</v>
      </c>
      <c r="E187">
        <v>1.1361703000000001E-2</v>
      </c>
      <c r="F187">
        <v>-1.478994E-3</v>
      </c>
    </row>
    <row r="188" spans="1:6" x14ac:dyDescent="0.35">
      <c r="A188" s="2">
        <v>45306</v>
      </c>
      <c r="B188">
        <v>22097.449219999999</v>
      </c>
      <c r="C188">
        <v>4783.4501950000003</v>
      </c>
      <c r="E188">
        <v>9.2243989999999994E-3</v>
      </c>
      <c r="F188">
        <v>5.6499810000000001E-3</v>
      </c>
    </row>
    <row r="189" spans="1:6" x14ac:dyDescent="0.35">
      <c r="A189" s="2">
        <v>45307</v>
      </c>
      <c r="B189">
        <v>22032.300780000001</v>
      </c>
      <c r="C189">
        <v>4780.2402339999999</v>
      </c>
      <c r="E189">
        <v>-2.9525879999999999E-3</v>
      </c>
      <c r="F189">
        <v>-6.7128100000000003E-4</v>
      </c>
    </row>
    <row r="190" spans="1:6" x14ac:dyDescent="0.35">
      <c r="A190" s="2">
        <v>45308</v>
      </c>
      <c r="B190">
        <v>21571.949219999999</v>
      </c>
      <c r="C190">
        <v>4783.830078</v>
      </c>
      <c r="E190">
        <v>-2.1115769999999999E-2</v>
      </c>
      <c r="F190">
        <v>7.5069399999999999E-4</v>
      </c>
    </row>
    <row r="191" spans="1:6" x14ac:dyDescent="0.35">
      <c r="A191" s="2">
        <v>45309</v>
      </c>
      <c r="B191">
        <v>21462.25</v>
      </c>
      <c r="C191">
        <v>4765.9799800000001</v>
      </c>
      <c r="E191">
        <v>-5.0982459999999999E-3</v>
      </c>
      <c r="F191">
        <v>-3.7383189999999999E-3</v>
      </c>
    </row>
    <row r="192" spans="1:6" x14ac:dyDescent="0.35">
      <c r="A192" s="2">
        <v>45310</v>
      </c>
      <c r="B192">
        <v>21622.400389999999</v>
      </c>
      <c r="C192">
        <v>4739.2099609999996</v>
      </c>
      <c r="E192">
        <v>7.4342549999999999E-3</v>
      </c>
      <c r="F192">
        <v>-5.6327310000000002E-3</v>
      </c>
    </row>
    <row r="193" spans="1:6" x14ac:dyDescent="0.35">
      <c r="A193" s="2">
        <v>45314</v>
      </c>
      <c r="B193">
        <v>21238.800780000001</v>
      </c>
      <c r="C193">
        <v>4780.9399409999996</v>
      </c>
      <c r="E193">
        <v>-1.7900098E-2</v>
      </c>
      <c r="F193">
        <v>8.7667209999999999E-3</v>
      </c>
    </row>
    <row r="194" spans="1:6" x14ac:dyDescent="0.35">
      <c r="A194" s="2">
        <v>45315</v>
      </c>
      <c r="B194">
        <v>21453.949219999999</v>
      </c>
      <c r="C194">
        <v>4839.8100590000004</v>
      </c>
      <c r="E194">
        <v>1.0079006999999999E-2</v>
      </c>
      <c r="F194">
        <v>1.2238308E-2</v>
      </c>
    </row>
    <row r="195" spans="1:6" x14ac:dyDescent="0.35">
      <c r="A195" s="2">
        <v>45316</v>
      </c>
      <c r="B195">
        <v>21352.599610000001</v>
      </c>
      <c r="C195">
        <v>4850.4301759999998</v>
      </c>
      <c r="E195">
        <v>-4.7352469999999997E-3</v>
      </c>
      <c r="F195">
        <v>2.1919209999999999E-3</v>
      </c>
    </row>
    <row r="196" spans="1:6" x14ac:dyDescent="0.35">
      <c r="A196" s="2">
        <v>45320</v>
      </c>
      <c r="B196">
        <v>21737.599610000001</v>
      </c>
      <c r="C196">
        <v>4864.6000979999999</v>
      </c>
      <c r="E196">
        <v>1.7869968E-2</v>
      </c>
      <c r="F196">
        <v>2.9171150000000001E-3</v>
      </c>
    </row>
    <row r="197" spans="1:6" x14ac:dyDescent="0.35">
      <c r="A197" s="2">
        <v>45321</v>
      </c>
      <c r="B197">
        <v>21522.099610000001</v>
      </c>
      <c r="C197">
        <v>4868.5498049999997</v>
      </c>
      <c r="E197">
        <v>-9.9631660000000007E-3</v>
      </c>
      <c r="F197">
        <v>8.1159899999999998E-4</v>
      </c>
    </row>
    <row r="198" spans="1:6" x14ac:dyDescent="0.35">
      <c r="A198" s="2">
        <v>45322</v>
      </c>
      <c r="B198">
        <v>21725.699219999999</v>
      </c>
      <c r="C198">
        <v>4894.1601559999999</v>
      </c>
      <c r="E198">
        <v>9.4155599999999999E-3</v>
      </c>
      <c r="F198">
        <v>5.246578E-3</v>
      </c>
    </row>
    <row r="199" spans="1:6" x14ac:dyDescent="0.35">
      <c r="A199" s="2">
        <v>45323</v>
      </c>
      <c r="B199">
        <v>21697.449219999999</v>
      </c>
      <c r="C199">
        <v>4890.9702150000003</v>
      </c>
      <c r="E199">
        <v>-1.30115E-3</v>
      </c>
      <c r="F199">
        <v>-6.5199799999999999E-4</v>
      </c>
    </row>
    <row r="200" spans="1:6" x14ac:dyDescent="0.35">
      <c r="A200" s="2">
        <v>45324</v>
      </c>
      <c r="B200">
        <v>21853.800780000001</v>
      </c>
      <c r="C200">
        <v>4927.9301759999998</v>
      </c>
      <c r="E200">
        <v>7.1801490000000003E-3</v>
      </c>
      <c r="F200">
        <v>7.5283659999999999E-3</v>
      </c>
    </row>
    <row r="201" spans="1:6" x14ac:dyDescent="0.35">
      <c r="A201" s="2">
        <v>45327</v>
      </c>
      <c r="B201">
        <v>21771.699219999999</v>
      </c>
      <c r="C201">
        <v>4924.9702150000003</v>
      </c>
      <c r="E201">
        <v>-3.76393E-3</v>
      </c>
      <c r="F201">
        <v>-6.0083000000000001E-4</v>
      </c>
    </row>
    <row r="202" spans="1:6" x14ac:dyDescent="0.35">
      <c r="A202" s="2">
        <v>45328</v>
      </c>
      <c r="B202">
        <v>21929.400389999999</v>
      </c>
      <c r="C202">
        <v>4845.6499020000001</v>
      </c>
      <c r="E202">
        <v>7.2172950000000003E-3</v>
      </c>
      <c r="F202">
        <v>-1.6236852E-2</v>
      </c>
    </row>
    <row r="203" spans="1:6" x14ac:dyDescent="0.35">
      <c r="A203" s="2">
        <v>45329</v>
      </c>
      <c r="B203">
        <v>21930.5</v>
      </c>
      <c r="C203">
        <v>4906.1899409999996</v>
      </c>
      <c r="E203" s="5">
        <v>5.0099999999999998E-5</v>
      </c>
      <c r="F203">
        <v>1.2416286E-2</v>
      </c>
    </row>
    <row r="204" spans="1:6" x14ac:dyDescent="0.35">
      <c r="A204" s="2">
        <v>45330</v>
      </c>
      <c r="B204">
        <v>21717.949219999999</v>
      </c>
      <c r="C204">
        <v>4958.6098629999997</v>
      </c>
      <c r="E204">
        <v>-9.7392899999999994E-3</v>
      </c>
      <c r="F204">
        <v>1.0627770999999999E-2</v>
      </c>
    </row>
    <row r="205" spans="1:6" x14ac:dyDescent="0.35">
      <c r="A205" s="2">
        <v>45331</v>
      </c>
      <c r="B205">
        <v>21782.5</v>
      </c>
      <c r="C205">
        <v>4942.8100590000004</v>
      </c>
      <c r="E205">
        <v>2.967824E-3</v>
      </c>
      <c r="F205">
        <v>-3.1914249999999999E-3</v>
      </c>
    </row>
    <row r="206" spans="1:6" x14ac:dyDescent="0.35">
      <c r="A206" s="2">
        <v>45334</v>
      </c>
      <c r="B206">
        <v>21616.050780000001</v>
      </c>
      <c r="C206">
        <v>4954.2299800000001</v>
      </c>
      <c r="E206">
        <v>-7.6707650000000004E-3</v>
      </c>
      <c r="F206">
        <v>2.3077459999999998E-3</v>
      </c>
    </row>
    <row r="207" spans="1:6" x14ac:dyDescent="0.35">
      <c r="A207" s="2">
        <v>45335</v>
      </c>
      <c r="B207">
        <v>21743.25</v>
      </c>
      <c r="C207">
        <v>4995.0600590000004</v>
      </c>
      <c r="E207">
        <v>5.8672339999999998E-3</v>
      </c>
      <c r="F207">
        <v>8.2076830000000003E-3</v>
      </c>
    </row>
    <row r="208" spans="1:6" x14ac:dyDescent="0.35">
      <c r="A208" s="2">
        <v>45336</v>
      </c>
      <c r="B208">
        <v>21840.050780000001</v>
      </c>
      <c r="C208">
        <v>4997.9101559999999</v>
      </c>
      <c r="E208">
        <v>4.4421110000000003E-3</v>
      </c>
      <c r="F208">
        <v>5.7041999999999998E-4</v>
      </c>
    </row>
    <row r="209" spans="1:6" x14ac:dyDescent="0.35">
      <c r="A209" s="2">
        <v>45337</v>
      </c>
      <c r="B209">
        <v>21910.75</v>
      </c>
      <c r="C209">
        <v>5026.6098629999997</v>
      </c>
      <c r="E209">
        <v>3.2319079999999999E-3</v>
      </c>
      <c r="F209">
        <v>5.7259169999999996E-3</v>
      </c>
    </row>
    <row r="210" spans="1:6" x14ac:dyDescent="0.35">
      <c r="A210" s="2">
        <v>45338</v>
      </c>
      <c r="B210">
        <v>22040.699219999999</v>
      </c>
      <c r="C210">
        <v>5021.8398440000001</v>
      </c>
      <c r="E210">
        <v>5.9133249999999997E-3</v>
      </c>
      <c r="F210">
        <v>-9.4940400000000005E-4</v>
      </c>
    </row>
    <row r="211" spans="1:6" x14ac:dyDescent="0.35">
      <c r="A211" s="2">
        <v>45341</v>
      </c>
      <c r="B211">
        <v>22122.25</v>
      </c>
      <c r="C211">
        <v>4953.169922</v>
      </c>
      <c r="E211">
        <v>3.6931809999999998E-3</v>
      </c>
      <c r="F211">
        <v>-1.3768608999999999E-2</v>
      </c>
    </row>
    <row r="212" spans="1:6" x14ac:dyDescent="0.35">
      <c r="A212" s="2">
        <v>45342</v>
      </c>
      <c r="B212">
        <v>22196.949219999999</v>
      </c>
      <c r="C212">
        <v>5000.6201170000004</v>
      </c>
      <c r="E212">
        <v>3.3709669999999999E-3</v>
      </c>
      <c r="F212">
        <v>9.5341680000000009E-3</v>
      </c>
    </row>
    <row r="213" spans="1:6" x14ac:dyDescent="0.35">
      <c r="A213" s="2">
        <v>45343</v>
      </c>
      <c r="B213">
        <v>22055.050780000001</v>
      </c>
      <c r="C213">
        <v>5029.7299800000001</v>
      </c>
      <c r="E213">
        <v>-6.4132210000000002E-3</v>
      </c>
      <c r="F213">
        <v>5.8043729999999998E-3</v>
      </c>
    </row>
    <row r="214" spans="1:6" x14ac:dyDescent="0.35">
      <c r="A214" s="2">
        <v>45344</v>
      </c>
      <c r="B214">
        <v>22217.449219999999</v>
      </c>
      <c r="C214">
        <v>5005.5698240000002</v>
      </c>
      <c r="E214">
        <v>7.3363450000000002E-3</v>
      </c>
      <c r="F214">
        <v>-4.8150440000000001E-3</v>
      </c>
    </row>
    <row r="215" spans="1:6" x14ac:dyDescent="0.35">
      <c r="A215" s="2">
        <v>45345</v>
      </c>
      <c r="B215">
        <v>22212.699219999999</v>
      </c>
      <c r="C215">
        <v>4975.5097660000001</v>
      </c>
      <c r="E215">
        <v>-2.1381899999999999E-4</v>
      </c>
      <c r="F215">
        <v>-6.0234260000000001E-3</v>
      </c>
    </row>
    <row r="216" spans="1:6" x14ac:dyDescent="0.35">
      <c r="A216" s="2">
        <v>45348</v>
      </c>
      <c r="B216">
        <v>22122.050780000001</v>
      </c>
      <c r="C216">
        <v>4981.7998049999997</v>
      </c>
      <c r="E216">
        <v>-4.089278E-3</v>
      </c>
      <c r="F216">
        <v>1.2634009999999999E-3</v>
      </c>
    </row>
    <row r="217" spans="1:6" x14ac:dyDescent="0.35">
      <c r="A217" s="2">
        <v>45349</v>
      </c>
      <c r="B217">
        <v>22198.349610000001</v>
      </c>
      <c r="C217">
        <v>5087.0297849999997</v>
      </c>
      <c r="E217">
        <v>3.44306E-3</v>
      </c>
      <c r="F217">
        <v>2.0902889000000001E-2</v>
      </c>
    </row>
    <row r="218" spans="1:6" x14ac:dyDescent="0.35">
      <c r="A218" s="2">
        <v>45350</v>
      </c>
      <c r="B218">
        <v>21951.150389999999</v>
      </c>
      <c r="C218">
        <v>5088.7998049999997</v>
      </c>
      <c r="E218">
        <v>-1.1198395999999999E-2</v>
      </c>
      <c r="F218">
        <v>3.4788700000000001E-4</v>
      </c>
    </row>
    <row r="219" spans="1:6" x14ac:dyDescent="0.35">
      <c r="A219" s="2">
        <v>45351</v>
      </c>
      <c r="B219">
        <v>21982.800780000001</v>
      </c>
      <c r="C219">
        <v>5069.5297849999997</v>
      </c>
      <c r="E219">
        <v>1.4408170000000001E-3</v>
      </c>
      <c r="F219">
        <v>-3.7939390000000001E-3</v>
      </c>
    </row>
    <row r="220" spans="1:6" x14ac:dyDescent="0.35">
      <c r="A220" s="2">
        <v>45352</v>
      </c>
      <c r="B220">
        <v>22338.75</v>
      </c>
      <c r="C220">
        <v>5078.1801759999998</v>
      </c>
      <c r="E220">
        <v>1.6062474E-2</v>
      </c>
      <c r="F220">
        <v>1.704896E-3</v>
      </c>
    </row>
    <row r="221" spans="1:6" x14ac:dyDescent="0.35">
      <c r="A221" s="2">
        <v>45355</v>
      </c>
      <c r="B221">
        <v>22405.599610000001</v>
      </c>
      <c r="C221">
        <v>5069.7597660000001</v>
      </c>
      <c r="E221">
        <v>2.988072E-3</v>
      </c>
      <c r="F221">
        <v>-1.6595309999999999E-3</v>
      </c>
    </row>
    <row r="222" spans="1:6" x14ac:dyDescent="0.35">
      <c r="A222" s="2">
        <v>45356</v>
      </c>
      <c r="B222">
        <v>22356.300780000001</v>
      </c>
      <c r="C222">
        <v>5096.2700199999999</v>
      </c>
      <c r="E222">
        <v>-2.2027150000000001E-3</v>
      </c>
      <c r="F222">
        <v>5.2154699999999998E-3</v>
      </c>
    </row>
    <row r="223" spans="1:6" x14ac:dyDescent="0.35">
      <c r="A223" s="2">
        <v>45357</v>
      </c>
      <c r="B223">
        <v>22474.050780000001</v>
      </c>
      <c r="C223">
        <v>5137.080078</v>
      </c>
      <c r="E223">
        <v>5.2531499999999998E-3</v>
      </c>
      <c r="F223">
        <v>7.9759359999999994E-3</v>
      </c>
    </row>
    <row r="224" spans="1:6" x14ac:dyDescent="0.35">
      <c r="A224" s="2">
        <v>45358</v>
      </c>
      <c r="B224">
        <v>22493.550780000001</v>
      </c>
      <c r="C224">
        <v>5130.9501950000003</v>
      </c>
      <c r="E224">
        <v>8.6729099999999996E-4</v>
      </c>
      <c r="F224">
        <v>-1.1939749999999999E-3</v>
      </c>
    </row>
    <row r="225" spans="1:6" x14ac:dyDescent="0.35">
      <c r="A225" s="2">
        <v>45362</v>
      </c>
      <c r="B225">
        <v>22332.650389999999</v>
      </c>
      <c r="C225">
        <v>5078.6499020000001</v>
      </c>
      <c r="E225">
        <v>-7.1788850000000003E-3</v>
      </c>
      <c r="F225">
        <v>-1.0245406E-2</v>
      </c>
    </row>
    <row r="226" spans="1:6" x14ac:dyDescent="0.35">
      <c r="A226" s="2">
        <v>45363</v>
      </c>
      <c r="B226">
        <v>22335.699219999999</v>
      </c>
      <c r="C226">
        <v>5104.7597660000001</v>
      </c>
      <c r="E226">
        <v>1.3651000000000001E-4</v>
      </c>
      <c r="F226">
        <v>5.1279330000000003E-3</v>
      </c>
    </row>
    <row r="227" spans="1:6" x14ac:dyDescent="0.35">
      <c r="A227" s="2">
        <v>45364</v>
      </c>
      <c r="B227">
        <v>21997.699219999999</v>
      </c>
      <c r="C227">
        <v>5157.3598629999997</v>
      </c>
      <c r="E227">
        <v>-1.5248393000000001E-2</v>
      </c>
      <c r="F227">
        <v>1.0251402E-2</v>
      </c>
    </row>
    <row r="228" spans="1:6" x14ac:dyDescent="0.35">
      <c r="A228" s="2">
        <v>45365</v>
      </c>
      <c r="B228">
        <v>22146.650389999999</v>
      </c>
      <c r="C228">
        <v>5123.6899409999996</v>
      </c>
      <c r="E228">
        <v>6.7483939999999996E-3</v>
      </c>
      <c r="F228">
        <v>-6.549923E-3</v>
      </c>
    </row>
    <row r="229" spans="1:6" x14ac:dyDescent="0.35">
      <c r="A229" s="2">
        <v>45366</v>
      </c>
      <c r="B229">
        <v>22023.349610000001</v>
      </c>
      <c r="C229">
        <v>5117.9399409999996</v>
      </c>
      <c r="E229">
        <v>-5.5830250000000001E-3</v>
      </c>
      <c r="F229">
        <v>-1.122868E-3</v>
      </c>
    </row>
    <row r="230" spans="1:6" x14ac:dyDescent="0.35">
      <c r="A230" s="2">
        <v>45369</v>
      </c>
      <c r="B230">
        <v>22055.699219999999</v>
      </c>
      <c r="C230">
        <v>5175.2700199999999</v>
      </c>
      <c r="E230">
        <v>1.4678E-3</v>
      </c>
      <c r="F230">
        <v>1.1139513E-2</v>
      </c>
    </row>
    <row r="231" spans="1:6" x14ac:dyDescent="0.35">
      <c r="A231" s="2">
        <v>45370</v>
      </c>
      <c r="B231">
        <v>21817.449219999999</v>
      </c>
      <c r="C231">
        <v>5165.3100590000004</v>
      </c>
      <c r="E231">
        <v>-1.0860964000000001E-2</v>
      </c>
      <c r="F231">
        <v>-1.926384E-3</v>
      </c>
    </row>
    <row r="232" spans="1:6" x14ac:dyDescent="0.35">
      <c r="A232" s="2">
        <v>45371</v>
      </c>
      <c r="B232">
        <v>21839.099610000001</v>
      </c>
      <c r="C232">
        <v>5150.4799800000001</v>
      </c>
      <c r="E232">
        <v>9.9185099999999997E-4</v>
      </c>
      <c r="F232">
        <v>-2.8752209999999999E-3</v>
      </c>
    </row>
    <row r="233" spans="1:6" x14ac:dyDescent="0.35">
      <c r="A233" s="2">
        <v>45372</v>
      </c>
      <c r="B233">
        <v>22011.949219999999</v>
      </c>
      <c r="C233">
        <v>5117.0898440000001</v>
      </c>
      <c r="E233">
        <v>7.8835290000000002E-3</v>
      </c>
      <c r="F233">
        <v>-6.5040230000000003E-3</v>
      </c>
    </row>
    <row r="234" spans="1:6" x14ac:dyDescent="0.35">
      <c r="A234" s="2">
        <v>45373</v>
      </c>
      <c r="B234">
        <v>22096.75</v>
      </c>
      <c r="C234">
        <v>5149.419922</v>
      </c>
      <c r="E234">
        <v>3.8450870000000001E-3</v>
      </c>
      <c r="F234">
        <v>6.2981840000000001E-3</v>
      </c>
    </row>
    <row r="235" spans="1:6" x14ac:dyDescent="0.35">
      <c r="A235" s="2">
        <v>45377</v>
      </c>
      <c r="B235">
        <v>22004.699219999999</v>
      </c>
      <c r="C235">
        <v>5178.5097660000001</v>
      </c>
      <c r="E235">
        <v>-4.174507E-3</v>
      </c>
      <c r="F235">
        <v>5.6332530000000004E-3</v>
      </c>
    </row>
    <row r="236" spans="1:6" x14ac:dyDescent="0.35">
      <c r="A236" s="2">
        <v>45378</v>
      </c>
      <c r="B236">
        <v>22123.650389999999</v>
      </c>
      <c r="C236">
        <v>5224.6201170000004</v>
      </c>
      <c r="E236">
        <v>5.3911580000000001E-3</v>
      </c>
      <c r="F236">
        <v>8.8647650000000001E-3</v>
      </c>
    </row>
    <row r="237" spans="1:6" x14ac:dyDescent="0.35">
      <c r="A237" s="2">
        <v>45379</v>
      </c>
      <c r="B237">
        <v>22326.900389999999</v>
      </c>
      <c r="C237">
        <v>5241.5297849999997</v>
      </c>
      <c r="E237">
        <v>9.1450569999999998E-3</v>
      </c>
      <c r="F237">
        <v>3.2313089999999999E-3</v>
      </c>
    </row>
    <row r="238" spans="1:6" x14ac:dyDescent="0.35">
      <c r="A238" s="2">
        <v>45383</v>
      </c>
      <c r="B238">
        <v>22462</v>
      </c>
      <c r="C238">
        <v>5234.1801759999998</v>
      </c>
      <c r="E238">
        <v>6.0327460000000003E-3</v>
      </c>
      <c r="F238">
        <v>-1.4031720000000001E-3</v>
      </c>
    </row>
    <row r="239" spans="1:6" x14ac:dyDescent="0.35">
      <c r="A239" s="2">
        <v>45384</v>
      </c>
      <c r="B239">
        <v>22453.300780000001</v>
      </c>
      <c r="C239">
        <v>5218.1899409999996</v>
      </c>
      <c r="E239">
        <v>-3.8736100000000002E-4</v>
      </c>
      <c r="F239">
        <v>-3.0596410000000001E-3</v>
      </c>
    </row>
    <row r="240" spans="1:6" x14ac:dyDescent="0.35">
      <c r="A240" s="2">
        <v>45385</v>
      </c>
      <c r="B240">
        <v>22434.650389999999</v>
      </c>
      <c r="C240">
        <v>5203.580078</v>
      </c>
      <c r="E240">
        <v>-8.3097499999999996E-4</v>
      </c>
      <c r="F240">
        <v>-2.8037219999999998E-3</v>
      </c>
    </row>
    <row r="241" spans="1:6" x14ac:dyDescent="0.35">
      <c r="A241" s="2">
        <v>45386</v>
      </c>
      <c r="B241">
        <v>22514.650389999999</v>
      </c>
      <c r="C241">
        <v>5248.4902339999999</v>
      </c>
      <c r="E241">
        <v>3.5595700000000002E-3</v>
      </c>
      <c r="F241">
        <v>8.5935960000000002E-3</v>
      </c>
    </row>
    <row r="242" spans="1:6" x14ac:dyDescent="0.35">
      <c r="A242" s="2">
        <v>45387</v>
      </c>
      <c r="B242">
        <v>22513.699219999999</v>
      </c>
      <c r="C242">
        <v>5254.3500979999999</v>
      </c>
      <c r="E242" s="5">
        <v>-4.2200000000000003E-5</v>
      </c>
      <c r="F242">
        <v>1.1158629999999999E-3</v>
      </c>
    </row>
    <row r="243" spans="1:6" x14ac:dyDescent="0.35">
      <c r="A243" s="2">
        <v>45390</v>
      </c>
      <c r="B243">
        <v>22666.300780000001</v>
      </c>
      <c r="C243">
        <v>5243.7700199999999</v>
      </c>
      <c r="E243">
        <v>6.755296E-3</v>
      </c>
      <c r="F243">
        <v>-2.0156150000000001E-3</v>
      </c>
    </row>
    <row r="244" spans="1:6" x14ac:dyDescent="0.35">
      <c r="A244" s="2">
        <v>45391</v>
      </c>
      <c r="B244">
        <v>22642.75</v>
      </c>
      <c r="C244">
        <v>5205.8100590000004</v>
      </c>
      <c r="E244">
        <v>-1.039562E-3</v>
      </c>
      <c r="F244">
        <v>-7.2653880000000002E-3</v>
      </c>
    </row>
    <row r="245" spans="1:6" x14ac:dyDescent="0.35">
      <c r="A245" s="2">
        <v>45392</v>
      </c>
      <c r="B245">
        <v>22753.800780000001</v>
      </c>
      <c r="C245">
        <v>5211.4902339999999</v>
      </c>
      <c r="E245">
        <v>4.8924859999999997E-3</v>
      </c>
      <c r="F245">
        <v>1.090527E-3</v>
      </c>
    </row>
    <row r="246" spans="1:6" x14ac:dyDescent="0.35">
      <c r="A246" s="2">
        <v>45394</v>
      </c>
      <c r="B246">
        <v>22519.400389999999</v>
      </c>
      <c r="C246">
        <v>5147.2099609999996</v>
      </c>
      <c r="E246">
        <v>-1.0355021000000001E-2</v>
      </c>
      <c r="F246">
        <v>-1.2411036E-2</v>
      </c>
    </row>
    <row r="249" spans="1:6" x14ac:dyDescent="0.35">
      <c r="D249" t="s">
        <v>3</v>
      </c>
      <c r="E249">
        <v>9.8535099999999998E-4</v>
      </c>
      <c r="F249">
        <v>8.9479200000000005E-4</v>
      </c>
    </row>
    <row r="252" spans="1:6" x14ac:dyDescent="0.35">
      <c r="D252" t="s">
        <v>4</v>
      </c>
      <c r="E252">
        <v>0.281698538</v>
      </c>
      <c r="F252">
        <v>0.25280710200000001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Equal Weights Portfolio</vt:lpstr>
      <vt:lpstr>Opimal P</vt:lpstr>
      <vt:lpstr>backtest stocks</vt:lpstr>
      <vt:lpstr>EQUAL WEIGHTS INDICES</vt:lpstr>
      <vt:lpstr>OPTIMAL WEIGHTS INDICES</vt:lpstr>
      <vt:lpstr>BACKTEST INDICES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Vishwajith Sunkerla</dc:creator>
  <cp:keywords/>
  <dc:description/>
  <cp:lastModifiedBy>Ashfaaq khan</cp:lastModifiedBy>
  <dcterms:created xsi:type="dcterms:W3CDTF">2024-04-14T13:29:00Z</dcterms:created>
  <dcterms:modified xsi:type="dcterms:W3CDTF">2024-04-14T16:31:57Z</dcterms:modified>
  <cp:category/>
</cp:coreProperties>
</file>